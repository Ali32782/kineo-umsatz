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/Users/martinocrivelli/Desktop/"/>
    </mc:Choice>
  </mc:AlternateContent>
  <xr:revisionPtr revIDLastSave="0" documentId="8_{3D974064-E216-4585-88B1-C39214DFB226}" xr6:coauthVersionLast="47" xr6:coauthVersionMax="47" xr10:uidLastSave="{00000000-0000-0000-0000-000000000000}"/>
  <bookViews>
    <workbookView xWindow="0" yWindow="1220" windowWidth="27640" windowHeight="16760" xr2:uid="{6CA6B295-5482-ED4F-A677-C1D62954F6FF}"/>
  </bookViews>
  <sheets>
    <sheet name="Fitness-Abo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8" i="1" l="1"/>
  <c r="N18" i="1"/>
  <c r="M18" i="1"/>
  <c r="L18" i="1"/>
  <c r="J18" i="1"/>
  <c r="K18" i="1"/>
  <c r="H18" i="1"/>
  <c r="G18" i="1"/>
  <c r="F18" i="1"/>
  <c r="E18" i="1"/>
  <c r="D18" i="1"/>
  <c r="C18" i="1"/>
  <c r="I18" i="1"/>
  <c r="B18" i="1"/>
  <c r="BM7" i="1"/>
  <c r="BL7" i="1"/>
  <c r="BK7" i="1"/>
  <c r="BJ7" i="1"/>
  <c r="BI7" i="1"/>
  <c r="BH7" i="1"/>
  <c r="BG7" i="1"/>
  <c r="BF7" i="1"/>
  <c r="BE7" i="1"/>
  <c r="BB7" i="1"/>
  <c r="BA7" i="1"/>
  <c r="AZ7" i="1"/>
  <c r="AY7" i="1"/>
  <c r="AX7" i="1"/>
  <c r="AW7" i="1"/>
  <c r="AV7" i="1"/>
  <c r="AR7" i="1"/>
  <c r="AQ7" i="1"/>
  <c r="AP7" i="1"/>
  <c r="AO7" i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  <c r="B7" i="1"/>
</calcChain>
</file>

<file path=xl/sharedStrings.xml><?xml version="1.0" encoding="utf-8"?>
<sst xmlns="http://schemas.openxmlformats.org/spreadsheetml/2006/main" count="131" uniqueCount="95">
  <si>
    <t>Was</t>
  </si>
  <si>
    <t>KW 1</t>
  </si>
  <si>
    <t>KW 2</t>
  </si>
  <si>
    <t>KW 3</t>
  </si>
  <si>
    <t>KW 4</t>
  </si>
  <si>
    <t>KW 5</t>
  </si>
  <si>
    <t>KW 6</t>
  </si>
  <si>
    <t>KW 7</t>
  </si>
  <si>
    <t>KW 8</t>
  </si>
  <si>
    <t>KW 9</t>
  </si>
  <si>
    <t>KW 10</t>
  </si>
  <si>
    <t>KW 11</t>
  </si>
  <si>
    <t>KW 12</t>
  </si>
  <si>
    <t>KW 13</t>
  </si>
  <si>
    <t>KW 14</t>
  </si>
  <si>
    <t>KW 15</t>
  </si>
  <si>
    <t>KW 16</t>
  </si>
  <si>
    <t>KW 17</t>
  </si>
  <si>
    <t>KW 18</t>
  </si>
  <si>
    <t>KW 19</t>
  </si>
  <si>
    <t>KW 20</t>
  </si>
  <si>
    <t>KW 21</t>
  </si>
  <si>
    <t>KW 22</t>
  </si>
  <si>
    <t>KW 23</t>
  </si>
  <si>
    <t>KW 24</t>
  </si>
  <si>
    <t>KW 25</t>
  </si>
  <si>
    <t>KW 26</t>
  </si>
  <si>
    <t>KW 27</t>
  </si>
  <si>
    <t>KW 45</t>
  </si>
  <si>
    <t>KW 50</t>
  </si>
  <si>
    <t>KW 51</t>
  </si>
  <si>
    <t>KW 52</t>
  </si>
  <si>
    <t>KW 1/25</t>
  </si>
  <si>
    <t>KW 2/25</t>
  </si>
  <si>
    <t>KW 3/25</t>
  </si>
  <si>
    <t>KW 4/25</t>
  </si>
  <si>
    <t>KW 5/25</t>
  </si>
  <si>
    <t>KW 9/25</t>
  </si>
  <si>
    <t>KW 10/52</t>
  </si>
  <si>
    <t>KW 11/522</t>
  </si>
  <si>
    <t>KW 12/5222</t>
  </si>
  <si>
    <t>KW 13/25</t>
  </si>
  <si>
    <t>KW 14/25</t>
  </si>
  <si>
    <t>KW 15/25</t>
  </si>
  <si>
    <t>KW 16/25</t>
  </si>
  <si>
    <t>KW 17/252</t>
  </si>
  <si>
    <t>KW 18/253</t>
  </si>
  <si>
    <t>KW 19/25</t>
  </si>
  <si>
    <t>KW 20/25</t>
  </si>
  <si>
    <t>KW 21/25</t>
  </si>
  <si>
    <t>KW 22/25</t>
  </si>
  <si>
    <t>KW 23/25</t>
  </si>
  <si>
    <t>KW 24/253</t>
  </si>
  <si>
    <t>KW 25/25</t>
  </si>
  <si>
    <t>KW 26/25</t>
  </si>
  <si>
    <t>KW 27/25</t>
  </si>
  <si>
    <t>KW 28/25</t>
  </si>
  <si>
    <t>KW 34/25</t>
  </si>
  <si>
    <t>KW 35/252</t>
  </si>
  <si>
    <t>KW 35/2522</t>
  </si>
  <si>
    <t>KW 36/2523</t>
  </si>
  <si>
    <t>KW 37/252</t>
  </si>
  <si>
    <t>KW 38/252</t>
  </si>
  <si>
    <t>KW 44</t>
  </si>
  <si>
    <t>KW50</t>
  </si>
  <si>
    <t>Anzahl aktive Verträge 2 Jahr</t>
  </si>
  <si>
    <t>Anzahl aktive Verträge 1 Jahr</t>
  </si>
  <si>
    <t>Anzahl aktive Verträge  6 Monate</t>
  </si>
  <si>
    <t>Mitglieder Gesamt</t>
  </si>
  <si>
    <t>Anzahl aktive Verträge MTT Plus</t>
  </si>
  <si>
    <t>Anzahl neue Verträge</t>
  </si>
  <si>
    <t>Anzahl Kündigungen</t>
  </si>
  <si>
    <t>Anzahl Probetraining</t>
  </si>
  <si>
    <t>KW 28</t>
  </si>
  <si>
    <t>KW 29</t>
  </si>
  <si>
    <t>KW 30</t>
  </si>
  <si>
    <t>KW 31</t>
  </si>
  <si>
    <t>KW 32</t>
  </si>
  <si>
    <t>KW 33</t>
  </si>
  <si>
    <t>KW 34</t>
  </si>
  <si>
    <t>KW 35</t>
  </si>
  <si>
    <t>KW 36</t>
  </si>
  <si>
    <t>KW 37</t>
  </si>
  <si>
    <t>KW 38</t>
  </si>
  <si>
    <t>KW 39</t>
  </si>
  <si>
    <t>KW 40</t>
  </si>
  <si>
    <t>KW 41</t>
  </si>
  <si>
    <t>KW 42</t>
  </si>
  <si>
    <t>KW 43</t>
  </si>
  <si>
    <t>KW 46</t>
  </si>
  <si>
    <t>KW 47</t>
  </si>
  <si>
    <t>KW 48</t>
  </si>
  <si>
    <t>KW 49</t>
  </si>
  <si>
    <t>2*</t>
  </si>
  <si>
    <t>1*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</si>
</sst>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indexed="64"/>
      </left>
      <right/>
      <top/>
      <bottom style="thick">
        <color theme="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4" fillId="2" borderId="0" xfId="0" applyFont="1" applyFill="1"/>
    <xf numFmtId="0" fontId="2" fillId="0" borderId="0" xfId="0" applyFont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3" borderId="5" xfId="0" applyFont="1" applyFill="1" applyBorder="1"/>
    <xf numFmtId="0" fontId="0" fillId="0" borderId="6" xfId="0" applyBorder="1"/>
    <xf numFmtId="0" fontId="0" fillId="4" borderId="6" xfId="0" applyFill="1" applyBorder="1"/>
    <xf numFmtId="0" fontId="0" fillId="5" borderId="6" xfId="0" applyFill="1" applyBorder="1"/>
    <xf numFmtId="0" fontId="5" fillId="0" borderId="0" xfId="0" applyFont="1"/>
    <xf numFmtId="0" fontId="5" fillId="0" borderId="6" xfId="0" applyFont="1" applyBorder="1"/>
    <xf numFmtId="0" fontId="5" fillId="5" borderId="6" xfId="0" applyFont="1" applyFill="1" applyBorder="1"/>
    <xf numFmtId="0" fontId="0" fillId="0" borderId="7" xfId="0" applyBorder="1"/>
    <xf numFmtId="0" fontId="0" fillId="5" borderId="7" xfId="0" applyFill="1" applyBorder="1"/>
    <xf numFmtId="0" fontId="0" fillId="4" borderId="9" xfId="0" applyFill="1" applyBorder="1"/>
    <xf numFmtId="0" fontId="0" fillId="5" borderId="9" xfId="0" applyFill="1" applyBorder="1"/>
    <xf numFmtId="0" fontId="0" fillId="5" borderId="10" xfId="0" applyFill="1" applyBorder="1"/>
    <xf numFmtId="0" fontId="4" fillId="0" borderId="0" xfId="0" applyFont="1"/>
    <xf numFmtId="0" fontId="1" fillId="3" borderId="13" xfId="0" applyFont="1" applyFill="1" applyBorder="1"/>
    <xf numFmtId="0" fontId="0" fillId="4" borderId="11" xfId="0" applyFill="1" applyBorder="1"/>
    <xf numFmtId="0" fontId="0" fillId="5" borderId="11" xfId="0" applyFill="1" applyBorder="1"/>
    <xf numFmtId="0" fontId="5" fillId="5" borderId="11" xfId="0" applyFont="1" applyFill="1" applyBorder="1"/>
    <xf numFmtId="0" fontId="0" fillId="5" borderId="12" xfId="0" applyFill="1" applyBorder="1"/>
    <xf numFmtId="0" fontId="1" fillId="0" borderId="0" xfId="0" applyFont="1"/>
    <xf numFmtId="0" fontId="1" fillId="3" borderId="8" xfId="0" applyFont="1" applyFill="1" applyBorder="1"/>
    <xf numFmtId="0" fontId="2" fillId="5" borderId="9" xfId="0" applyFont="1" applyFill="1" applyBorder="1"/>
    <xf numFmtId="0" fontId="1" fillId="2" borderId="1" xfId="0" applyFont="1" applyFill="1" applyBorder="1"/>
    <xf numFmtId="0" fontId="3" fillId="0" borderId="0" xfId="0" applyFont="1"/>
  </cellXfs>
  <cellStyles count="1">
    <cellStyle name="Normale" xfId="0" builtinId="0"/>
  </cellStyles>
  <dxfs count="63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C407C68-8D54-374A-A17B-123FD17CB15E}" name="Tabelle1" displayName="Tabelle1" ref="A3:BI11" totalsRowShown="0" headerRowDxfId="62" dataDxfId="61">
  <autoFilter ref="A3:BI11" xr:uid="{EC407C68-8D54-374A-A17B-123FD17CB15E}"/>
  <tableColumns count="61">
    <tableColumn id="1" xr3:uid="{B1B12764-AC79-E142-A70C-69D3BBC624E9}" name="Was" dataDxfId="60"/>
    <tableColumn id="2" xr3:uid="{A36EE977-F978-214C-A373-008C620E39D6}" name="KW 1" dataDxfId="59"/>
    <tableColumn id="3" xr3:uid="{C9AEE1F4-4E0F-A944-91A2-53131A782FC5}" name="KW 2" dataDxfId="58"/>
    <tableColumn id="4" xr3:uid="{F6AF770C-1F9E-DF46-A31E-6E2B5BC95288}" name="KW 3" dataDxfId="57"/>
    <tableColumn id="5" xr3:uid="{419CE808-904E-B141-AE66-5837B086D273}" name="KW 4" dataDxfId="56"/>
    <tableColumn id="6" xr3:uid="{5BF6C32B-EAAA-9A44-A7E6-F223C1F187C4}" name="KW 5" dataDxfId="55"/>
    <tableColumn id="7" xr3:uid="{6D6E0345-FE33-A947-BE5D-DEC0F8E0CC4E}" name="KW 6" dataDxfId="54"/>
    <tableColumn id="8" xr3:uid="{CA47809A-5F0F-C146-B7C5-27FAF11C986C}" name="KW 7" dataDxfId="53"/>
    <tableColumn id="9" xr3:uid="{8D5434A7-522F-1741-8BD9-19F7A2B5B0D6}" name="KW 8" dataDxfId="52"/>
    <tableColumn id="10" xr3:uid="{FE9EE386-BF2D-B74D-B5B2-B823D243978A}" name="KW 9" dataDxfId="51"/>
    <tableColumn id="11" xr3:uid="{FC5CEA12-D360-8442-8D12-94689C7DFA5E}" name="KW 10" dataDxfId="50"/>
    <tableColumn id="12" xr3:uid="{64FFB08D-1779-6743-800A-00D5D72D7A64}" name="KW 11" dataDxfId="49"/>
    <tableColumn id="13" xr3:uid="{87FC39AC-8B82-F749-A185-89D7F626603D}" name="KW 12" dataDxfId="48"/>
    <tableColumn id="14" xr3:uid="{8AC72AA7-AA84-8349-BBCF-9A36B42AB3D9}" name="KW 13" dataDxfId="47"/>
    <tableColumn id="15" xr3:uid="{ECE1A9BA-20A4-9947-AACD-0FDA3FA18DF7}" name="KW 14" dataDxfId="46"/>
    <tableColumn id="16" xr3:uid="{C96556D2-A0AD-0D47-98EF-ED80B68722C5}" name="KW 15" dataDxfId="45"/>
    <tableColumn id="17" xr3:uid="{04FEFCBD-F897-4249-A2D4-B00CDE949840}" name="KW 16" dataDxfId="44"/>
    <tableColumn id="18" xr3:uid="{2AD81FC6-D17D-EB4E-876C-28FE34173E35}" name="KW 17" dataDxfId="43"/>
    <tableColumn id="19" xr3:uid="{18547CD7-F6B0-E642-93F1-B7251E644330}" name="KW 18" dataDxfId="42"/>
    <tableColumn id="20" xr3:uid="{961B19A2-A50C-7245-89E0-991081296256}" name="KW 19" dataDxfId="41"/>
    <tableColumn id="21" xr3:uid="{D77B95DB-D367-E44E-AB62-EB779DFB520F}" name="KW 20" dataDxfId="40"/>
    <tableColumn id="22" xr3:uid="{D01B6479-0FF6-9E4D-9731-B9FE091734B3}" name="KW 21" dataDxfId="39"/>
    <tableColumn id="23" xr3:uid="{743D4532-9865-E243-863F-098958D4DE46}" name="KW 22" dataDxfId="38"/>
    <tableColumn id="24" xr3:uid="{D7CF0032-5409-0F49-A5E1-AFE73351431F}" name="KW 23" dataDxfId="37"/>
    <tableColumn id="25" xr3:uid="{2A382B7C-6EC6-D54B-A998-05E68E4E7037}" name="KW 24" dataDxfId="36"/>
    <tableColumn id="26" xr3:uid="{CF2EDF2C-4B0F-4F47-BA6B-39481A8C9300}" name="KW 25" dataDxfId="35"/>
    <tableColumn id="27" xr3:uid="{44BC3331-5D57-4A43-9F79-C6D424BD7D5A}" name="KW 26" dataDxfId="34"/>
    <tableColumn id="28" xr3:uid="{809715E3-FBF0-A341-8E12-66C98B4ABE72}" name="KW 27" dataDxfId="33"/>
    <tableColumn id="46" xr3:uid="{B95C1D86-381A-5842-A4FF-978F7CCFF8F9}" name="KW 45" dataDxfId="32"/>
    <tableColumn id="51" xr3:uid="{4633F4CF-31A4-2B4B-8C55-ED2CEC60740D}" name="KW 50" dataDxfId="31"/>
    <tableColumn id="52" xr3:uid="{78025D29-2C87-404B-AF16-32F925A9780D}" name="KW 51" dataDxfId="30"/>
    <tableColumn id="53" xr3:uid="{9A720044-9D5A-7341-BD2C-4A8A68BB59A0}" name="KW 52" dataDxfId="29"/>
    <tableColumn id="54" xr3:uid="{DB9395F4-1BA2-924F-8428-39486828FC60}" name="KW 1/25" dataDxfId="28"/>
    <tableColumn id="55" xr3:uid="{3237C3CE-3809-7C49-B9AD-7BD4E9C08BA0}" name="KW 2/25" dataDxfId="27"/>
    <tableColumn id="29" xr3:uid="{BB52CE1D-7A71-214E-8FC2-150F4ED9CA9F}" name="KW 3/25" dataDxfId="26"/>
    <tableColumn id="30" xr3:uid="{353E44D6-E3B4-7A40-87B5-0DDC90C0B597}" name="KW 4/25" dataDxfId="25"/>
    <tableColumn id="31" xr3:uid="{718E8561-DC07-9240-9B71-B7B7F027F849}" name="KW 5/25" dataDxfId="24"/>
    <tableColumn id="32" xr3:uid="{6C90FE6A-B8C6-3143-AD0E-AA2239BB3E6E}" name="KW 9/25" dataDxfId="23"/>
    <tableColumn id="33" xr3:uid="{7ADE0537-0ED3-D441-A60A-A1436E584A37}" name="KW 10/52" dataDxfId="22"/>
    <tableColumn id="34" xr3:uid="{5840D06A-95D4-804B-A9E0-8085058C35E6}" name="KW 11/522" dataDxfId="21"/>
    <tableColumn id="35" xr3:uid="{F7336D3C-FAD1-D947-B152-A0DF90DFA6BF}" name="KW 12/5222" dataDxfId="20"/>
    <tableColumn id="36" xr3:uid="{EB1D9A97-8CAF-154F-B8CB-744295CB524C}" name="KW 13/25" dataDxfId="19"/>
    <tableColumn id="37" xr3:uid="{748B137E-6CBE-A641-A202-28C480DDE018}" name="KW 14/25" dataDxfId="18"/>
    <tableColumn id="38" xr3:uid="{3281D4CD-D292-3F42-81DB-462DBA9D5507}" name="KW 15/25" dataDxfId="17"/>
    <tableColumn id="39" xr3:uid="{C868BBB0-F620-3C41-877F-8E7E21B67CBF}" name="KW 16/25" dataDxfId="16"/>
    <tableColumn id="40" xr3:uid="{C3DC2F74-12AD-7E42-8F7F-D1C687920D66}" name="KW 17/252" dataDxfId="15"/>
    <tableColumn id="41" xr3:uid="{BE8FE103-965D-FA47-A2DE-92794F19B154}" name="KW 18/253" dataDxfId="14"/>
    <tableColumn id="42" xr3:uid="{B9A80890-7850-074F-8AAC-0EBDB56D497C}" name="KW 19/25" dataDxfId="13"/>
    <tableColumn id="43" xr3:uid="{8D1C847A-E70D-A54A-90A3-5D693BF80A1F}" name="KW 20/25" dataDxfId="12"/>
    <tableColumn id="44" xr3:uid="{C8B63D72-CCA9-B740-8A74-DBAABD716BD6}" name="KW 21/25" dataDxfId="11"/>
    <tableColumn id="45" xr3:uid="{0DDEF595-88CE-9245-B6B0-A209C451010D}" name="KW 22/25" dataDxfId="10"/>
    <tableColumn id="47" xr3:uid="{C9553799-268A-A94C-8BDC-A8CBB821C915}" name="KW 23/25" dataDxfId="9"/>
    <tableColumn id="48" xr3:uid="{0C2B77CF-BA96-6645-8DD5-6DEF5D9DE1DA}" name="KW 24/253" dataDxfId="8"/>
    <tableColumn id="49" xr3:uid="{2837614B-DA32-2E41-A692-B115DC47B8CC}" name="KW 25/25" dataDxfId="7"/>
    <tableColumn id="50" xr3:uid="{13AFB166-8CB4-1541-B758-A1AA570CF92D}" name="KW 26/25" dataDxfId="6"/>
    <tableColumn id="56" xr3:uid="{64D2283F-7FA5-D347-B418-951BCD28970E}" name="KW 27/25" dataDxfId="5"/>
    <tableColumn id="57" xr3:uid="{3471CA93-472B-D545-A5D2-73FE91F2DE16}" name="KW 28/25" dataDxfId="4"/>
    <tableColumn id="58" xr3:uid="{CA2F583E-6C67-1A4F-B213-D3EFF74F00B3}" name="KW 34/25" dataDxfId="3"/>
    <tableColumn id="59" xr3:uid="{5ED20F0B-8D6C-3A4C-86C5-E78F930898FE}" name="KW 35/252" dataDxfId="2"/>
    <tableColumn id="60" xr3:uid="{A8EABB60-9E34-3C48-8E6F-825A57C183C6}" name="KW 35/2522" dataDxfId="1"/>
    <tableColumn id="61" xr3:uid="{C39401A1-A9AA-024D-B55C-6EFAF82B6EEA}" name="KW 36/2523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3F224-D40F-6A48-A8A0-F16204D531D8}">
  <dimension ref="A2:BW22"/>
  <sheetViews>
    <sheetView tabSelected="1" workbookViewId="0">
      <selection activeCell="O19" sqref="O19"/>
    </sheetView>
  </sheetViews>
  <sheetFormatPr defaultColWidth="11" defaultRowHeight="15.95"/>
  <cols>
    <col min="1" max="1" width="31.875" customWidth="1"/>
  </cols>
  <sheetData>
    <row r="2" spans="1:75">
      <c r="A2" s="27">
        <v>2025</v>
      </c>
      <c r="B2" s="28"/>
      <c r="BO2" s="18"/>
    </row>
    <row r="3" spans="1:75" ht="17.100000000000001" thickBot="1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3" t="s">
        <v>14</v>
      </c>
      <c r="P3" s="3" t="s">
        <v>15</v>
      </c>
      <c r="Q3" s="3" t="s">
        <v>16</v>
      </c>
      <c r="R3" s="3" t="s">
        <v>17</v>
      </c>
      <c r="S3" s="3" t="s">
        <v>18</v>
      </c>
      <c r="T3" s="3" t="s">
        <v>19</v>
      </c>
      <c r="U3" s="3" t="s">
        <v>20</v>
      </c>
      <c r="V3" s="3" t="s">
        <v>21</v>
      </c>
      <c r="W3" s="3" t="s">
        <v>22</v>
      </c>
      <c r="X3" s="3" t="s">
        <v>23</v>
      </c>
      <c r="Y3" s="4" t="s">
        <v>24</v>
      </c>
      <c r="Z3" s="2" t="s">
        <v>25</v>
      </c>
      <c r="AA3" s="2" t="s">
        <v>26</v>
      </c>
      <c r="AB3" s="2" t="s">
        <v>27</v>
      </c>
      <c r="AC3" s="5" t="s">
        <v>28</v>
      </c>
      <c r="AD3" s="5" t="s">
        <v>29</v>
      </c>
      <c r="AE3" s="4" t="s">
        <v>30</v>
      </c>
      <c r="AF3" s="5" t="s">
        <v>31</v>
      </c>
      <c r="AG3" s="3" t="s">
        <v>32</v>
      </c>
      <c r="AH3" s="3" t="s">
        <v>33</v>
      </c>
      <c r="AI3" s="3" t="s">
        <v>34</v>
      </c>
      <c r="AJ3" s="3" t="s">
        <v>35</v>
      </c>
      <c r="AK3" s="3" t="s">
        <v>36</v>
      </c>
      <c r="AL3" s="3" t="s">
        <v>37</v>
      </c>
      <c r="AM3" s="3" t="s">
        <v>38</v>
      </c>
      <c r="AN3" s="3" t="s">
        <v>39</v>
      </c>
      <c r="AO3" s="3" t="s">
        <v>40</v>
      </c>
      <c r="AP3" s="3" t="s">
        <v>41</v>
      </c>
      <c r="AQ3" s="3" t="s">
        <v>42</v>
      </c>
      <c r="AR3" s="3" t="s">
        <v>43</v>
      </c>
      <c r="AS3" s="3" t="s">
        <v>44</v>
      </c>
      <c r="AT3" s="3" t="s">
        <v>45</v>
      </c>
      <c r="AU3" s="3" t="s">
        <v>46</v>
      </c>
      <c r="AV3" s="3" t="s">
        <v>47</v>
      </c>
      <c r="AW3" s="3" t="s">
        <v>48</v>
      </c>
      <c r="AX3" s="3" t="s">
        <v>49</v>
      </c>
      <c r="AY3" s="3" t="s">
        <v>50</v>
      </c>
      <c r="AZ3" s="3" t="s">
        <v>51</v>
      </c>
      <c r="BA3" s="3" t="s">
        <v>52</v>
      </c>
      <c r="BB3" s="3" t="s">
        <v>53</v>
      </c>
      <c r="BC3" s="3" t="s">
        <v>54</v>
      </c>
      <c r="BD3" s="3" t="s">
        <v>55</v>
      </c>
      <c r="BE3" s="3" t="s">
        <v>56</v>
      </c>
      <c r="BF3" s="3" t="s">
        <v>57</v>
      </c>
      <c r="BG3" s="3" t="s">
        <v>58</v>
      </c>
      <c r="BH3" s="3" t="s">
        <v>59</v>
      </c>
      <c r="BI3" s="3" t="s">
        <v>60</v>
      </c>
      <c r="BJ3" s="6" t="s">
        <v>61</v>
      </c>
      <c r="BK3" s="6" t="s">
        <v>62</v>
      </c>
      <c r="BL3" s="6" t="s">
        <v>63</v>
      </c>
      <c r="BM3" s="19" t="s">
        <v>64</v>
      </c>
      <c r="BO3" s="24"/>
      <c r="BP3" s="24"/>
      <c r="BQ3" s="24"/>
      <c r="BR3" s="24"/>
      <c r="BS3" s="24"/>
      <c r="BT3" s="24"/>
      <c r="BU3" s="24"/>
      <c r="BV3" s="24"/>
      <c r="BW3" s="24"/>
    </row>
    <row r="4" spans="1:75" ht="17.100000000000001" thickTop="1">
      <c r="A4" t="s">
        <v>65</v>
      </c>
      <c r="B4">
        <v>6</v>
      </c>
      <c r="C4">
        <v>6</v>
      </c>
      <c r="D4">
        <v>6</v>
      </c>
      <c r="E4">
        <v>8</v>
      </c>
      <c r="F4">
        <v>8</v>
      </c>
      <c r="I4">
        <v>8</v>
      </c>
      <c r="J4">
        <v>8</v>
      </c>
      <c r="K4">
        <v>8</v>
      </c>
      <c r="L4">
        <v>8</v>
      </c>
      <c r="M4">
        <v>8</v>
      </c>
      <c r="N4">
        <v>8</v>
      </c>
      <c r="O4">
        <v>7</v>
      </c>
      <c r="P4">
        <v>7</v>
      </c>
      <c r="Q4">
        <v>7</v>
      </c>
      <c r="R4">
        <v>7</v>
      </c>
      <c r="S4">
        <v>7</v>
      </c>
      <c r="T4">
        <v>7</v>
      </c>
      <c r="U4">
        <v>7</v>
      </c>
      <c r="V4">
        <v>7</v>
      </c>
      <c r="W4">
        <v>8</v>
      </c>
      <c r="X4">
        <v>7</v>
      </c>
      <c r="Y4">
        <v>7</v>
      </c>
      <c r="Z4">
        <v>8</v>
      </c>
      <c r="AA4">
        <v>8</v>
      </c>
      <c r="AB4">
        <v>7</v>
      </c>
      <c r="AC4">
        <v>6</v>
      </c>
      <c r="AD4">
        <v>7</v>
      </c>
      <c r="AE4">
        <v>7</v>
      </c>
      <c r="AF4">
        <v>7</v>
      </c>
      <c r="AG4">
        <v>7</v>
      </c>
      <c r="AH4">
        <v>7</v>
      </c>
      <c r="AI4">
        <v>7</v>
      </c>
      <c r="AJ4">
        <v>7</v>
      </c>
      <c r="AK4">
        <v>7</v>
      </c>
      <c r="AL4">
        <v>7</v>
      </c>
      <c r="AM4">
        <v>7</v>
      </c>
      <c r="AN4">
        <v>7</v>
      </c>
      <c r="AO4">
        <v>7</v>
      </c>
      <c r="AP4">
        <v>7</v>
      </c>
      <c r="AQ4">
        <v>7</v>
      </c>
      <c r="AR4">
        <v>7</v>
      </c>
      <c r="AV4" s="7">
        <v>7</v>
      </c>
      <c r="AW4" s="7">
        <v>6</v>
      </c>
      <c r="AX4" s="7">
        <v>6</v>
      </c>
      <c r="AY4" s="7">
        <v>6</v>
      </c>
      <c r="AZ4" s="7">
        <v>6</v>
      </c>
      <c r="BA4" s="7">
        <v>6</v>
      </c>
      <c r="BB4" s="7">
        <v>6</v>
      </c>
      <c r="BC4">
        <v>5</v>
      </c>
      <c r="BD4">
        <v>5</v>
      </c>
      <c r="BE4">
        <v>5</v>
      </c>
      <c r="BF4">
        <v>7</v>
      </c>
      <c r="BG4">
        <v>7</v>
      </c>
      <c r="BH4">
        <v>7</v>
      </c>
      <c r="BI4">
        <v>7</v>
      </c>
      <c r="BJ4" s="8">
        <v>7</v>
      </c>
      <c r="BK4" s="8">
        <v>7</v>
      </c>
      <c r="BL4" s="8">
        <v>6</v>
      </c>
      <c r="BM4" s="20">
        <v>6</v>
      </c>
    </row>
    <row r="5" spans="1:75">
      <c r="A5" t="s">
        <v>66</v>
      </c>
      <c r="B5">
        <v>134</v>
      </c>
      <c r="C5">
        <v>134</v>
      </c>
      <c r="D5">
        <v>134</v>
      </c>
      <c r="E5">
        <v>135</v>
      </c>
      <c r="F5">
        <v>136</v>
      </c>
      <c r="I5">
        <v>134</v>
      </c>
      <c r="J5">
        <v>135</v>
      </c>
      <c r="K5">
        <v>136</v>
      </c>
      <c r="L5">
        <v>134</v>
      </c>
      <c r="M5">
        <v>132</v>
      </c>
      <c r="N5">
        <v>132</v>
      </c>
      <c r="O5">
        <v>132</v>
      </c>
      <c r="P5">
        <v>132</v>
      </c>
      <c r="Q5">
        <v>131</v>
      </c>
      <c r="R5">
        <v>131</v>
      </c>
      <c r="S5">
        <v>131</v>
      </c>
      <c r="T5">
        <v>131</v>
      </c>
      <c r="U5">
        <v>131</v>
      </c>
      <c r="V5">
        <v>131</v>
      </c>
      <c r="W5">
        <v>130</v>
      </c>
      <c r="X5">
        <v>130</v>
      </c>
      <c r="Y5">
        <v>130</v>
      </c>
      <c r="Z5">
        <v>129</v>
      </c>
      <c r="AA5">
        <v>128</v>
      </c>
      <c r="AB5">
        <v>127</v>
      </c>
      <c r="AC5">
        <v>125</v>
      </c>
      <c r="AD5">
        <v>128</v>
      </c>
      <c r="AE5">
        <v>128</v>
      </c>
      <c r="AF5">
        <v>128</v>
      </c>
      <c r="AG5">
        <v>127</v>
      </c>
      <c r="AH5">
        <v>127</v>
      </c>
      <c r="AI5">
        <v>126</v>
      </c>
      <c r="AJ5">
        <v>124</v>
      </c>
      <c r="AK5">
        <v>125</v>
      </c>
      <c r="AL5">
        <v>127</v>
      </c>
      <c r="AM5">
        <v>127</v>
      </c>
      <c r="AN5">
        <v>127</v>
      </c>
      <c r="AO5">
        <v>127</v>
      </c>
      <c r="AP5">
        <v>127</v>
      </c>
      <c r="AQ5">
        <v>127</v>
      </c>
      <c r="AR5">
        <v>130</v>
      </c>
      <c r="AV5" s="7">
        <v>132</v>
      </c>
      <c r="AW5" s="7">
        <v>138</v>
      </c>
      <c r="AX5" s="7">
        <v>138</v>
      </c>
      <c r="AY5" s="7">
        <v>138</v>
      </c>
      <c r="AZ5" s="7">
        <v>138</v>
      </c>
      <c r="BA5" s="7">
        <v>138</v>
      </c>
      <c r="BB5" s="7">
        <v>138</v>
      </c>
      <c r="BC5" s="7">
        <v>138</v>
      </c>
      <c r="BD5" s="7">
        <v>138</v>
      </c>
      <c r="BE5">
        <v>142</v>
      </c>
      <c r="BF5">
        <v>146</v>
      </c>
      <c r="BG5">
        <v>147</v>
      </c>
      <c r="BH5">
        <v>147</v>
      </c>
      <c r="BI5">
        <v>147</v>
      </c>
      <c r="BJ5" s="9">
        <v>147</v>
      </c>
      <c r="BK5" s="9">
        <v>147</v>
      </c>
      <c r="BL5" s="9">
        <v>149</v>
      </c>
      <c r="BM5" s="21">
        <v>147</v>
      </c>
    </row>
    <row r="6" spans="1:75">
      <c r="A6" t="s">
        <v>67</v>
      </c>
      <c r="B6">
        <v>22</v>
      </c>
      <c r="C6">
        <v>22</v>
      </c>
      <c r="D6">
        <v>21</v>
      </c>
      <c r="E6">
        <v>20</v>
      </c>
      <c r="F6">
        <v>20</v>
      </c>
      <c r="I6">
        <v>20</v>
      </c>
      <c r="J6">
        <v>21</v>
      </c>
      <c r="K6">
        <v>20</v>
      </c>
      <c r="L6">
        <v>20</v>
      </c>
      <c r="M6">
        <v>18</v>
      </c>
      <c r="N6">
        <v>18</v>
      </c>
      <c r="O6">
        <v>18</v>
      </c>
      <c r="P6">
        <v>18</v>
      </c>
      <c r="Q6">
        <v>16</v>
      </c>
      <c r="R6">
        <v>16</v>
      </c>
      <c r="S6">
        <v>15</v>
      </c>
      <c r="T6">
        <v>15</v>
      </c>
      <c r="U6">
        <v>15</v>
      </c>
      <c r="V6">
        <v>15</v>
      </c>
      <c r="W6">
        <v>15</v>
      </c>
      <c r="X6">
        <v>15</v>
      </c>
      <c r="Y6">
        <v>15</v>
      </c>
      <c r="Z6">
        <v>13</v>
      </c>
      <c r="AA6">
        <v>13</v>
      </c>
      <c r="AB6">
        <v>14</v>
      </c>
      <c r="AC6">
        <v>15</v>
      </c>
      <c r="AD6">
        <v>19</v>
      </c>
      <c r="AE6">
        <v>19</v>
      </c>
      <c r="AF6">
        <v>19</v>
      </c>
      <c r="AG6">
        <v>24</v>
      </c>
      <c r="AH6">
        <v>25</v>
      </c>
      <c r="AI6">
        <v>25</v>
      </c>
      <c r="AJ6">
        <v>24</v>
      </c>
      <c r="AK6">
        <v>24</v>
      </c>
      <c r="AL6">
        <v>22</v>
      </c>
      <c r="AM6">
        <v>22</v>
      </c>
      <c r="AN6">
        <v>22</v>
      </c>
      <c r="AO6">
        <v>21</v>
      </c>
      <c r="AP6">
        <v>21</v>
      </c>
      <c r="AQ6">
        <v>21</v>
      </c>
      <c r="AR6">
        <v>21</v>
      </c>
      <c r="AV6" s="7">
        <v>19</v>
      </c>
      <c r="AW6" s="7">
        <v>17</v>
      </c>
      <c r="AX6" s="7">
        <v>17</v>
      </c>
      <c r="AY6" s="7">
        <v>17</v>
      </c>
      <c r="AZ6" s="7">
        <v>17</v>
      </c>
      <c r="BA6" s="7">
        <v>17</v>
      </c>
      <c r="BB6" s="7">
        <v>17</v>
      </c>
      <c r="BC6" s="7">
        <v>17</v>
      </c>
      <c r="BD6">
        <v>17</v>
      </c>
      <c r="BE6">
        <v>18</v>
      </c>
      <c r="BF6">
        <v>16</v>
      </c>
      <c r="BG6">
        <v>16</v>
      </c>
      <c r="BH6">
        <v>16</v>
      </c>
      <c r="BI6">
        <v>16</v>
      </c>
      <c r="BJ6" s="8">
        <v>16</v>
      </c>
      <c r="BK6" s="8">
        <v>15</v>
      </c>
      <c r="BL6" s="8">
        <v>20</v>
      </c>
      <c r="BM6" s="20">
        <v>18</v>
      </c>
    </row>
    <row r="7" spans="1:75">
      <c r="A7" s="2" t="s">
        <v>68</v>
      </c>
      <c r="B7" s="2">
        <f>SUM(B4:B6)</f>
        <v>162</v>
      </c>
      <c r="C7" s="2">
        <f>SUM(C4:C6)</f>
        <v>162</v>
      </c>
      <c r="D7" s="2">
        <f>SUBTOTAL(109,D4:D6)</f>
        <v>161</v>
      </c>
      <c r="E7" s="2">
        <f>SUM(E4:E6)</f>
        <v>163</v>
      </c>
      <c r="F7" s="2">
        <f>SUM(F4:F6)</f>
        <v>164</v>
      </c>
      <c r="G7" s="2">
        <f>SUM(G4:G6)</f>
        <v>0</v>
      </c>
      <c r="H7" s="2">
        <f>SUM(H4:H6)</f>
        <v>0</v>
      </c>
      <c r="I7" s="2">
        <f t="shared" ref="I7:V7" si="0">SUBTOTAL(109,I4:I6)</f>
        <v>162</v>
      </c>
      <c r="J7" s="2">
        <f t="shared" si="0"/>
        <v>164</v>
      </c>
      <c r="K7" s="2">
        <f t="shared" si="0"/>
        <v>164</v>
      </c>
      <c r="L7" s="2">
        <f t="shared" si="0"/>
        <v>162</v>
      </c>
      <c r="M7" s="2">
        <f t="shared" si="0"/>
        <v>158</v>
      </c>
      <c r="N7" s="2">
        <f t="shared" si="0"/>
        <v>158</v>
      </c>
      <c r="O7" s="2">
        <f t="shared" si="0"/>
        <v>157</v>
      </c>
      <c r="P7" s="2">
        <f t="shared" si="0"/>
        <v>157</v>
      </c>
      <c r="Q7" s="10">
        <f t="shared" si="0"/>
        <v>154</v>
      </c>
      <c r="R7" s="10">
        <f t="shared" si="0"/>
        <v>154</v>
      </c>
      <c r="S7" s="10">
        <f t="shared" si="0"/>
        <v>153</v>
      </c>
      <c r="T7" s="10">
        <f t="shared" si="0"/>
        <v>153</v>
      </c>
      <c r="U7" s="10">
        <f t="shared" si="0"/>
        <v>153</v>
      </c>
      <c r="V7" s="10">
        <f t="shared" si="0"/>
        <v>153</v>
      </c>
      <c r="W7" s="10">
        <f>SUBTOTAL(109,W4:W6)</f>
        <v>153</v>
      </c>
      <c r="X7" s="10">
        <f>SUBTOTAL(109,X4:X6)</f>
        <v>152</v>
      </c>
      <c r="Y7" s="10">
        <f>SUBTOTAL(109,Y4:Y6)</f>
        <v>152</v>
      </c>
      <c r="Z7" s="10">
        <v>150</v>
      </c>
      <c r="AA7" s="10">
        <v>149</v>
      </c>
      <c r="AB7" s="10">
        <v>148</v>
      </c>
      <c r="AC7" s="10">
        <v>146</v>
      </c>
      <c r="AD7" s="10">
        <v>154</v>
      </c>
      <c r="AE7" s="10">
        <v>154</v>
      </c>
      <c r="AF7" s="10">
        <v>154</v>
      </c>
      <c r="AG7" s="10">
        <v>158</v>
      </c>
      <c r="AH7" s="10">
        <v>159</v>
      </c>
      <c r="AI7" s="10">
        <v>158</v>
      </c>
      <c r="AJ7" s="10">
        <v>155</v>
      </c>
      <c r="AK7" s="10">
        <v>156</v>
      </c>
      <c r="AL7" s="10">
        <v>156</v>
      </c>
      <c r="AM7" s="10">
        <v>156</v>
      </c>
      <c r="AN7" s="10">
        <v>156</v>
      </c>
      <c r="AO7" s="10">
        <f>SUBTOTAL(109,AO4:AO6)</f>
        <v>155</v>
      </c>
      <c r="AP7" s="10">
        <f>SUBTOTAL(109,AP4:AP6)</f>
        <v>155</v>
      </c>
      <c r="AQ7" s="10">
        <f>SUBTOTAL(109,AQ4:AQ6)</f>
        <v>155</v>
      </c>
      <c r="AR7" s="10">
        <f>SUBTOTAL(109,AR4:AR6)</f>
        <v>158</v>
      </c>
      <c r="AS7" s="10"/>
      <c r="AT7" s="10"/>
      <c r="AU7" s="10"/>
      <c r="AV7" s="11">
        <f>SUBTOTAL(109,AV4:AV6)</f>
        <v>158</v>
      </c>
      <c r="AW7" s="11">
        <f>SUBTOTAL(109,AW4:AW6)</f>
        <v>161</v>
      </c>
      <c r="AX7" s="11">
        <f>SUBTOTAL(109,AX4:AX6)</f>
        <v>161</v>
      </c>
      <c r="AY7" s="11">
        <f>SUBTOTAL(109,AY4:AY6)</f>
        <v>161</v>
      </c>
      <c r="AZ7" s="11">
        <f t="shared" ref="AZ7:BB7" si="1">SUBTOTAL(109,AZ4:AZ6)</f>
        <v>161</v>
      </c>
      <c r="BA7" s="11">
        <f t="shared" si="1"/>
        <v>161</v>
      </c>
      <c r="BB7" s="11">
        <f t="shared" si="1"/>
        <v>161</v>
      </c>
      <c r="BC7" s="10">
        <v>161</v>
      </c>
      <c r="BD7" s="10">
        <v>161</v>
      </c>
      <c r="BE7" s="10">
        <f t="shared" ref="BE7:BK7" si="2">SUBTOTAL(109,BE4:BE6)</f>
        <v>165</v>
      </c>
      <c r="BF7" s="10">
        <f t="shared" si="2"/>
        <v>169</v>
      </c>
      <c r="BG7" s="10">
        <f t="shared" si="2"/>
        <v>170</v>
      </c>
      <c r="BH7" s="10">
        <f t="shared" si="2"/>
        <v>170</v>
      </c>
      <c r="BI7" s="10">
        <f t="shared" si="2"/>
        <v>170</v>
      </c>
      <c r="BJ7" s="12">
        <f t="shared" si="2"/>
        <v>170</v>
      </c>
      <c r="BK7" s="12">
        <f t="shared" si="2"/>
        <v>169</v>
      </c>
      <c r="BL7" s="12">
        <f>SUM(BL4:BL6)</f>
        <v>175</v>
      </c>
      <c r="BM7" s="22">
        <f>SUM(BM4:BM6)</f>
        <v>171</v>
      </c>
      <c r="BN7" s="10"/>
      <c r="BO7" s="10"/>
      <c r="BP7" s="10"/>
      <c r="BQ7" s="10"/>
      <c r="BR7" s="10"/>
      <c r="BS7" s="10"/>
      <c r="BT7" s="10"/>
      <c r="BU7" s="10"/>
      <c r="BV7" s="10"/>
      <c r="BW7" s="10"/>
    </row>
    <row r="8" spans="1:75">
      <c r="A8" t="s">
        <v>69</v>
      </c>
      <c r="B8">
        <v>1</v>
      </c>
      <c r="C8">
        <v>1</v>
      </c>
      <c r="D8">
        <v>1</v>
      </c>
      <c r="E8">
        <v>1</v>
      </c>
      <c r="F8">
        <v>1</v>
      </c>
      <c r="I8">
        <v>1</v>
      </c>
      <c r="J8">
        <v>1</v>
      </c>
      <c r="K8">
        <v>1</v>
      </c>
      <c r="L8">
        <v>1</v>
      </c>
      <c r="M8">
        <v>2</v>
      </c>
      <c r="N8">
        <v>2</v>
      </c>
      <c r="O8">
        <v>2</v>
      </c>
      <c r="P8">
        <v>2</v>
      </c>
      <c r="Q8">
        <v>2</v>
      </c>
      <c r="R8">
        <v>2</v>
      </c>
      <c r="S8">
        <v>2</v>
      </c>
      <c r="V8">
        <v>2</v>
      </c>
      <c r="W8">
        <v>2</v>
      </c>
      <c r="X8">
        <v>2</v>
      </c>
      <c r="Y8">
        <v>2</v>
      </c>
      <c r="Z8">
        <v>0</v>
      </c>
      <c r="AA8">
        <v>0</v>
      </c>
      <c r="AB8">
        <v>1</v>
      </c>
      <c r="AC8">
        <v>2</v>
      </c>
      <c r="AD8">
        <v>0</v>
      </c>
      <c r="AE8">
        <v>0</v>
      </c>
      <c r="AF8">
        <v>0</v>
      </c>
      <c r="AG8">
        <v>0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2</v>
      </c>
      <c r="AP8">
        <v>2</v>
      </c>
      <c r="AQ8">
        <v>2</v>
      </c>
      <c r="AR8">
        <v>1</v>
      </c>
      <c r="AV8" s="7">
        <v>1</v>
      </c>
      <c r="AW8" s="7">
        <v>1</v>
      </c>
      <c r="AX8" s="7">
        <v>1</v>
      </c>
      <c r="AY8" s="7">
        <v>1</v>
      </c>
      <c r="AZ8" s="7">
        <v>1</v>
      </c>
      <c r="BA8" s="7">
        <v>1</v>
      </c>
      <c r="BB8" s="7">
        <v>1</v>
      </c>
      <c r="BC8">
        <v>1</v>
      </c>
      <c r="BD8">
        <v>1</v>
      </c>
      <c r="BE8">
        <v>1</v>
      </c>
      <c r="BF8">
        <v>2</v>
      </c>
      <c r="BG8">
        <v>0</v>
      </c>
      <c r="BH8">
        <v>0</v>
      </c>
      <c r="BI8">
        <v>0</v>
      </c>
      <c r="BJ8" s="8">
        <v>0</v>
      </c>
      <c r="BK8" s="8">
        <v>0</v>
      </c>
      <c r="BL8" s="8"/>
      <c r="BM8" s="20">
        <v>1</v>
      </c>
    </row>
    <row r="9" spans="1:75">
      <c r="A9" t="s">
        <v>70</v>
      </c>
      <c r="C9">
        <v>2</v>
      </c>
      <c r="D9">
        <v>1</v>
      </c>
      <c r="E9">
        <v>1</v>
      </c>
      <c r="F9">
        <v>2</v>
      </c>
      <c r="G9">
        <v>0</v>
      </c>
      <c r="H9">
        <v>0</v>
      </c>
      <c r="I9">
        <v>0</v>
      </c>
      <c r="J9">
        <v>1</v>
      </c>
      <c r="K9">
        <v>1</v>
      </c>
      <c r="L9">
        <v>0</v>
      </c>
      <c r="O9">
        <v>1</v>
      </c>
      <c r="Q9">
        <v>1</v>
      </c>
      <c r="S9">
        <v>1</v>
      </c>
      <c r="T9">
        <v>1</v>
      </c>
      <c r="AC9">
        <v>2</v>
      </c>
      <c r="AD9">
        <v>1</v>
      </c>
      <c r="AE9">
        <v>1</v>
      </c>
      <c r="AF9">
        <v>1</v>
      </c>
      <c r="AG9">
        <v>3</v>
      </c>
      <c r="AH9">
        <v>1</v>
      </c>
      <c r="AI9">
        <v>0</v>
      </c>
      <c r="AJ9">
        <v>1</v>
      </c>
      <c r="AK9">
        <v>1</v>
      </c>
      <c r="AL9">
        <v>2</v>
      </c>
      <c r="AO9">
        <v>1</v>
      </c>
      <c r="AP9">
        <v>1</v>
      </c>
      <c r="AQ9">
        <v>1</v>
      </c>
      <c r="AV9" s="7">
        <v>2</v>
      </c>
      <c r="AW9" s="7"/>
      <c r="AX9" s="7"/>
      <c r="AY9" s="7"/>
      <c r="BF9">
        <v>2</v>
      </c>
      <c r="BG9">
        <v>1</v>
      </c>
      <c r="BH9">
        <v>1</v>
      </c>
      <c r="BI9">
        <v>1</v>
      </c>
      <c r="BJ9" s="9">
        <v>1</v>
      </c>
      <c r="BK9" s="9">
        <v>1</v>
      </c>
      <c r="BL9" s="9"/>
      <c r="BM9" s="21"/>
    </row>
    <row r="10" spans="1:75">
      <c r="A10" t="s">
        <v>71</v>
      </c>
      <c r="F10">
        <v>2</v>
      </c>
      <c r="G10">
        <v>2</v>
      </c>
      <c r="H10">
        <v>2</v>
      </c>
      <c r="I10">
        <v>1</v>
      </c>
      <c r="J10">
        <v>0</v>
      </c>
      <c r="L10">
        <v>1</v>
      </c>
      <c r="N10">
        <v>1</v>
      </c>
      <c r="P10">
        <v>1</v>
      </c>
      <c r="T10">
        <v>1</v>
      </c>
      <c r="W10">
        <v>1</v>
      </c>
      <c r="Y10">
        <v>1</v>
      </c>
      <c r="Z10">
        <v>1</v>
      </c>
      <c r="AA10">
        <v>2</v>
      </c>
      <c r="AC10">
        <v>2</v>
      </c>
      <c r="AD10">
        <v>0</v>
      </c>
      <c r="AE10">
        <v>0</v>
      </c>
      <c r="AF10">
        <v>0</v>
      </c>
      <c r="AG10">
        <v>0</v>
      </c>
      <c r="AH10">
        <v>1</v>
      </c>
      <c r="AI10">
        <v>1</v>
      </c>
      <c r="AJ10">
        <v>0</v>
      </c>
      <c r="AK10">
        <v>1</v>
      </c>
      <c r="AL10">
        <v>0</v>
      </c>
      <c r="AV10" s="7"/>
      <c r="AW10" s="7"/>
      <c r="AX10" s="7"/>
      <c r="AY10" s="7"/>
      <c r="BJ10" s="8">
        <v>1</v>
      </c>
      <c r="BK10" s="8"/>
      <c r="BL10" s="8"/>
      <c r="BM10" s="20"/>
    </row>
    <row r="11" spans="1:75">
      <c r="A11" t="s">
        <v>72</v>
      </c>
      <c r="B11">
        <v>1</v>
      </c>
      <c r="C11">
        <v>2</v>
      </c>
      <c r="D11">
        <v>3</v>
      </c>
      <c r="E11">
        <v>1</v>
      </c>
      <c r="F11">
        <v>2</v>
      </c>
      <c r="G11">
        <v>1</v>
      </c>
      <c r="H11">
        <v>1</v>
      </c>
      <c r="I11">
        <v>1</v>
      </c>
      <c r="J11">
        <v>1</v>
      </c>
      <c r="K11">
        <v>2</v>
      </c>
      <c r="L11">
        <v>1</v>
      </c>
      <c r="O11">
        <v>1</v>
      </c>
      <c r="Q11">
        <v>1</v>
      </c>
      <c r="S11">
        <v>1</v>
      </c>
      <c r="T11">
        <v>1</v>
      </c>
      <c r="U11">
        <v>3</v>
      </c>
      <c r="V11">
        <v>0</v>
      </c>
      <c r="W11">
        <v>1</v>
      </c>
      <c r="X11">
        <v>1</v>
      </c>
      <c r="Y11">
        <v>0</v>
      </c>
      <c r="Z11">
        <v>0</v>
      </c>
      <c r="AA11">
        <v>1</v>
      </c>
      <c r="AB11">
        <v>1</v>
      </c>
      <c r="AC11">
        <v>3</v>
      </c>
      <c r="AD11">
        <v>1</v>
      </c>
      <c r="AE11">
        <v>1</v>
      </c>
      <c r="AF11">
        <v>1</v>
      </c>
      <c r="AG11">
        <v>3</v>
      </c>
      <c r="AH11">
        <v>5</v>
      </c>
      <c r="AI11">
        <v>1</v>
      </c>
      <c r="AJ11">
        <v>1</v>
      </c>
      <c r="AK11">
        <v>1</v>
      </c>
      <c r="AL11">
        <v>1</v>
      </c>
      <c r="AO11">
        <v>3</v>
      </c>
      <c r="AP11">
        <v>3</v>
      </c>
      <c r="AQ11">
        <v>3</v>
      </c>
      <c r="AV11" s="13">
        <v>1</v>
      </c>
      <c r="AW11" s="13"/>
      <c r="AX11" s="13"/>
      <c r="AY11" s="13"/>
      <c r="BJ11" s="14"/>
      <c r="BK11" s="14"/>
      <c r="BL11" s="14"/>
      <c r="BM11" s="23"/>
    </row>
    <row r="13" spans="1:75">
      <c r="A13" s="1">
        <v>2026</v>
      </c>
      <c r="B13" s="18"/>
    </row>
    <row r="14" spans="1:75" ht="17.100000000000001" thickBot="1">
      <c r="A14" s="25" t="s">
        <v>0</v>
      </c>
      <c r="B14" s="6" t="s">
        <v>6</v>
      </c>
      <c r="C14" s="6" t="s">
        <v>7</v>
      </c>
      <c r="D14" s="6" t="s">
        <v>8</v>
      </c>
      <c r="E14" s="6" t="s">
        <v>9</v>
      </c>
      <c r="F14" s="6" t="s">
        <v>10</v>
      </c>
      <c r="G14" s="6" t="s">
        <v>11</v>
      </c>
      <c r="H14" s="6" t="s">
        <v>12</v>
      </c>
      <c r="I14" s="6" t="s">
        <v>13</v>
      </c>
      <c r="J14" s="6" t="s">
        <v>14</v>
      </c>
      <c r="K14" s="6" t="s">
        <v>15</v>
      </c>
      <c r="L14" s="6" t="s">
        <v>16</v>
      </c>
      <c r="M14" s="6" t="s">
        <v>17</v>
      </c>
      <c r="N14" s="6" t="s">
        <v>18</v>
      </c>
      <c r="O14" s="6" t="s">
        <v>19</v>
      </c>
      <c r="P14" s="6" t="s">
        <v>20</v>
      </c>
      <c r="Q14" s="6" t="s">
        <v>21</v>
      </c>
      <c r="R14" s="6" t="s">
        <v>22</v>
      </c>
      <c r="S14" s="6" t="s">
        <v>23</v>
      </c>
      <c r="T14" s="6" t="s">
        <v>24</v>
      </c>
      <c r="U14" s="6" t="s">
        <v>25</v>
      </c>
      <c r="V14" s="6" t="s">
        <v>26</v>
      </c>
      <c r="W14" s="6" t="s">
        <v>27</v>
      </c>
      <c r="X14" s="6" t="s">
        <v>73</v>
      </c>
      <c r="Y14" s="6" t="s">
        <v>74</v>
      </c>
      <c r="Z14" s="6" t="s">
        <v>75</v>
      </c>
      <c r="AA14" s="6" t="s">
        <v>76</v>
      </c>
      <c r="AB14" s="6" t="s">
        <v>77</v>
      </c>
      <c r="AC14" s="6" t="s">
        <v>78</v>
      </c>
      <c r="AD14" s="6" t="s">
        <v>79</v>
      </c>
      <c r="AE14" s="6" t="s">
        <v>80</v>
      </c>
      <c r="AF14" s="6" t="s">
        <v>81</v>
      </c>
      <c r="AG14" s="6" t="s">
        <v>82</v>
      </c>
      <c r="AH14" s="6" t="s">
        <v>83</v>
      </c>
      <c r="AI14" s="6" t="s">
        <v>84</v>
      </c>
      <c r="AJ14" s="6" t="s">
        <v>85</v>
      </c>
      <c r="AK14" s="6" t="s">
        <v>86</v>
      </c>
      <c r="AL14" s="6" t="s">
        <v>87</v>
      </c>
      <c r="AM14" s="6" t="s">
        <v>88</v>
      </c>
      <c r="AN14" s="6" t="s">
        <v>63</v>
      </c>
      <c r="AO14" s="6" t="s">
        <v>28</v>
      </c>
      <c r="AP14" s="6" t="s">
        <v>89</v>
      </c>
      <c r="AQ14" s="6" t="s">
        <v>90</v>
      </c>
      <c r="AR14" s="6" t="s">
        <v>91</v>
      </c>
      <c r="AS14" s="6" t="s">
        <v>92</v>
      </c>
      <c r="AT14" s="6" t="s">
        <v>29</v>
      </c>
      <c r="AU14" s="6" t="s">
        <v>30</v>
      </c>
      <c r="AV14" s="6" t="s">
        <v>31</v>
      </c>
    </row>
    <row r="15" spans="1:75" ht="17.100000000000001" thickTop="1">
      <c r="A15" s="15" t="s">
        <v>65</v>
      </c>
      <c r="B15" s="8">
        <v>3</v>
      </c>
      <c r="C15" s="8">
        <v>3</v>
      </c>
      <c r="D15" s="8">
        <v>3</v>
      </c>
      <c r="E15" s="8">
        <v>3</v>
      </c>
      <c r="F15" s="8">
        <v>3</v>
      </c>
      <c r="G15" s="8">
        <v>3</v>
      </c>
      <c r="H15" s="8">
        <v>3</v>
      </c>
      <c r="I15" s="8">
        <v>3</v>
      </c>
      <c r="J15" s="8">
        <v>3</v>
      </c>
      <c r="K15" s="8">
        <v>3</v>
      </c>
      <c r="L15" s="8">
        <v>3</v>
      </c>
      <c r="M15" s="8">
        <v>3</v>
      </c>
      <c r="N15" s="8">
        <v>3</v>
      </c>
      <c r="O15" s="8">
        <v>3</v>
      </c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</row>
    <row r="16" spans="1:75">
      <c r="A16" s="16" t="s">
        <v>66</v>
      </c>
      <c r="B16" s="9">
        <v>146</v>
      </c>
      <c r="C16" s="9">
        <v>146</v>
      </c>
      <c r="D16" s="9">
        <v>146</v>
      </c>
      <c r="E16" s="9">
        <v>146</v>
      </c>
      <c r="F16" s="9">
        <v>145</v>
      </c>
      <c r="G16" s="9">
        <v>145</v>
      </c>
      <c r="H16" s="9">
        <v>145</v>
      </c>
      <c r="I16" s="9">
        <v>145</v>
      </c>
      <c r="J16" s="9">
        <v>144</v>
      </c>
      <c r="K16" s="9">
        <v>144</v>
      </c>
      <c r="L16" s="9">
        <v>145</v>
      </c>
      <c r="M16" s="9">
        <v>145</v>
      </c>
      <c r="N16" s="9">
        <v>144</v>
      </c>
      <c r="O16" s="9">
        <v>143</v>
      </c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</row>
    <row r="17" spans="1:48">
      <c r="A17" s="15" t="s">
        <v>67</v>
      </c>
      <c r="B17" s="8">
        <v>21</v>
      </c>
      <c r="C17" s="8">
        <v>21</v>
      </c>
      <c r="D17" s="8">
        <v>21</v>
      </c>
      <c r="E17" s="8">
        <v>20</v>
      </c>
      <c r="F17" s="8">
        <v>20</v>
      </c>
      <c r="G17" s="8">
        <v>19</v>
      </c>
      <c r="H17" s="8">
        <v>19</v>
      </c>
      <c r="I17" s="8">
        <v>18</v>
      </c>
      <c r="J17" s="8">
        <v>17</v>
      </c>
      <c r="K17" s="8">
        <v>17</v>
      </c>
      <c r="L17" s="8">
        <v>15</v>
      </c>
      <c r="M17" s="8">
        <v>12</v>
      </c>
      <c r="N17" s="8">
        <v>12</v>
      </c>
      <c r="O17" s="8">
        <v>13</v>
      </c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</row>
    <row r="18" spans="1:48" ht="15.75">
      <c r="A18" s="26" t="s">
        <v>68</v>
      </c>
      <c r="B18" s="12">
        <f>SUM(B15:B17)</f>
        <v>170</v>
      </c>
      <c r="C18" s="12">
        <f>SUM(C15:C17)</f>
        <v>170</v>
      </c>
      <c r="D18" s="12">
        <f>SUM(D15:D17)</f>
        <v>170</v>
      </c>
      <c r="E18" s="12">
        <f>SUM(E15:E17)</f>
        <v>169</v>
      </c>
      <c r="F18" s="12">
        <f>SUM(F15:F17)</f>
        <v>168</v>
      </c>
      <c r="G18" s="12">
        <f>SUM(G15:G17)</f>
        <v>167</v>
      </c>
      <c r="H18" s="12">
        <f>SUM(H15:H17)</f>
        <v>167</v>
      </c>
      <c r="I18" s="12">
        <f>SUM(I15:I17)</f>
        <v>166</v>
      </c>
      <c r="J18" s="12">
        <f>SUM(J15:J17)</f>
        <v>164</v>
      </c>
      <c r="K18" s="12">
        <f>SUM(K15:K17)</f>
        <v>164</v>
      </c>
      <c r="L18" s="12">
        <f>SUM(L15:L17)</f>
        <v>163</v>
      </c>
      <c r="M18" s="12">
        <f>SUM(M15:M17)</f>
        <v>160</v>
      </c>
      <c r="N18" s="12">
        <f>SUM(N15:N17)</f>
        <v>159</v>
      </c>
      <c r="O18" s="12">
        <f>SUM(O15:O17)</f>
        <v>159</v>
      </c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</row>
    <row r="19" spans="1:48">
      <c r="A19" s="15" t="s">
        <v>69</v>
      </c>
      <c r="B19" s="8">
        <v>1</v>
      </c>
      <c r="C19" s="8">
        <v>1</v>
      </c>
      <c r="D19" s="8">
        <v>1</v>
      </c>
      <c r="E19" s="8">
        <v>1</v>
      </c>
      <c r="F19" s="8">
        <v>1</v>
      </c>
      <c r="G19" s="8">
        <v>1</v>
      </c>
      <c r="H19" s="8" t="s">
        <v>93</v>
      </c>
      <c r="I19" s="8">
        <v>2</v>
      </c>
      <c r="J19" s="8">
        <v>2</v>
      </c>
      <c r="K19" s="8">
        <v>2</v>
      </c>
      <c r="L19" s="8">
        <v>2</v>
      </c>
      <c r="M19" s="8">
        <v>2</v>
      </c>
      <c r="N19" s="8">
        <v>2</v>
      </c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</row>
    <row r="20" spans="1:48">
      <c r="A20" s="16" t="s">
        <v>70</v>
      </c>
      <c r="B20" s="9"/>
      <c r="C20" s="9">
        <v>0</v>
      </c>
      <c r="D20" s="9">
        <v>2</v>
      </c>
      <c r="E20" s="9">
        <v>1</v>
      </c>
      <c r="F20" s="9">
        <v>0</v>
      </c>
      <c r="G20" s="9">
        <v>0</v>
      </c>
      <c r="H20" s="9" t="s">
        <v>94</v>
      </c>
      <c r="I20" s="9">
        <v>0</v>
      </c>
      <c r="J20" s="9">
        <v>0</v>
      </c>
      <c r="K20" s="9">
        <v>0</v>
      </c>
      <c r="L20" s="9">
        <v>1</v>
      </c>
      <c r="M20" s="9">
        <v>0</v>
      </c>
      <c r="N20" s="9">
        <v>1</v>
      </c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</row>
    <row r="21" spans="1:48">
      <c r="A21" s="15" t="s">
        <v>71</v>
      </c>
      <c r="B21" s="8"/>
      <c r="C21" s="8">
        <v>0</v>
      </c>
      <c r="D21" s="8">
        <v>2</v>
      </c>
      <c r="E21" s="8">
        <v>2</v>
      </c>
      <c r="F21" s="8">
        <v>1</v>
      </c>
      <c r="G21" s="8">
        <v>1</v>
      </c>
      <c r="H21" s="8">
        <v>0</v>
      </c>
      <c r="I21" s="8">
        <v>1</v>
      </c>
      <c r="J21" s="8">
        <v>1</v>
      </c>
      <c r="K21" s="8">
        <v>0</v>
      </c>
      <c r="L21" s="8">
        <v>2</v>
      </c>
      <c r="M21" s="8">
        <v>3</v>
      </c>
      <c r="N21" s="8">
        <v>2</v>
      </c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</row>
    <row r="22" spans="1:48">
      <c r="A22" s="17" t="s">
        <v>72</v>
      </c>
      <c r="B22" s="14">
        <v>3</v>
      </c>
      <c r="C22" s="14">
        <v>0</v>
      </c>
      <c r="D22" s="14">
        <v>0</v>
      </c>
      <c r="E22" s="14">
        <v>1</v>
      </c>
      <c r="F22" s="14">
        <v>0</v>
      </c>
      <c r="G22" s="14">
        <v>1</v>
      </c>
      <c r="H22" s="14">
        <v>0</v>
      </c>
      <c r="I22" s="14">
        <v>0</v>
      </c>
      <c r="J22" s="14">
        <v>0</v>
      </c>
      <c r="K22" s="14">
        <v>1</v>
      </c>
      <c r="L22" s="14">
        <v>0</v>
      </c>
      <c r="M22" s="14">
        <v>1</v>
      </c>
      <c r="N22" s="14">
        <v>0</v>
      </c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</row>
  </sheetData>
  <phoneticPr fontId="6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88f0618-13ea-4db3-8229-667b3ccae292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63D9E2BEDA4F245B417B211580825C6" ma:contentTypeVersion="12" ma:contentTypeDescription="Creare un nuovo documento." ma:contentTypeScope="" ma:versionID="2da920b17276764376dd9c34920444b5">
  <xsd:schema xmlns:xsd="http://www.w3.org/2001/XMLSchema" xmlns:xs="http://www.w3.org/2001/XMLSchema" xmlns:p="http://schemas.microsoft.com/office/2006/metadata/properties" xmlns:ns2="288f0618-13ea-4db3-8229-667b3ccae292" xmlns:ns3="1e9177c6-2e1b-49c1-be69-aab21259ecfd" targetNamespace="http://schemas.microsoft.com/office/2006/metadata/properties" ma:root="true" ma:fieldsID="7e016ce3c9af8825fb545d79cca2ef74" ns2:_="" ns3:_="">
    <xsd:import namespace="288f0618-13ea-4db3-8229-667b3ccae292"/>
    <xsd:import namespace="1e9177c6-2e1b-49c1-be69-aab21259ecfd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8f0618-13ea-4db3-8229-667b3ccae292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Tag immagine" ma:readOnly="false" ma:fieldId="{5cf76f15-5ced-4ddc-b409-7134ff3c332f}" ma:taxonomyMulti="true" ma:sspId="debc9b56-b40a-44d9-b59a-2f2b7232ae4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9177c6-2e1b-49c1-be69-aab21259ecfd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EF6362E-7604-4FF2-B16E-F1508D819375}"/>
</file>

<file path=customXml/itemProps2.xml><?xml version="1.0" encoding="utf-8"?>
<ds:datastoreItem xmlns:ds="http://schemas.openxmlformats.org/officeDocument/2006/customXml" ds:itemID="{A74CCB7C-1056-4F46-AFA4-43F5B007EC0E}"/>
</file>

<file path=customXml/itemProps3.xml><?xml version="1.0" encoding="utf-8"?>
<ds:datastoreItem xmlns:ds="http://schemas.openxmlformats.org/officeDocument/2006/customXml" ds:itemID="{27D8A402-D3A3-480E-A597-1283655BF8E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Kineo Physiotherapie</dc:creator>
  <cp:keywords/>
  <dc:description/>
  <cp:lastModifiedBy/>
  <cp:revision/>
  <dcterms:created xsi:type="dcterms:W3CDTF">2026-03-18T08:24:08Z</dcterms:created>
  <dcterms:modified xsi:type="dcterms:W3CDTF">2026-05-19T10:05:51Z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0x010100F63D9E2BEDA4F245B417B211580825C6</vt:lpwstr>
  </property>
  <property fmtid="{D5CDD505-2E9C-101B-9397-08002B2CF9AE}" pid="3" name="MediaServiceImageTags">
    <vt:lpwstr/>
  </property>
</Properties>
</file>