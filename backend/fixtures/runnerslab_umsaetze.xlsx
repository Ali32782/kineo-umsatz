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ocrivelli/Desktop/Statistik:Umsätze/2026/"/>
    </mc:Choice>
  </mc:AlternateContent>
  <xr:revisionPtr revIDLastSave="0" documentId="13_ncr:1_{8E533996-8C22-4445-9534-A6460605A766}" xr6:coauthVersionLast="47" xr6:coauthVersionMax="47" xr10:uidLastSave="{00000000-0000-0000-0000-000000000000}"/>
  <bookViews>
    <workbookView xWindow="0" yWindow="1580" windowWidth="27240" windowHeight="16260" xr2:uid="{96610201-DA24-0F40-A669-13CA2A1DE4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L35" i="1"/>
  <c r="K35" i="1"/>
  <c r="J35" i="1"/>
  <c r="I35" i="1"/>
  <c r="H35" i="1"/>
  <c r="G35" i="1"/>
  <c r="F35" i="1"/>
  <c r="E35" i="1"/>
  <c r="D35" i="1"/>
  <c r="C35" i="1"/>
  <c r="B35" i="1"/>
  <c r="N34" i="1"/>
  <c r="N33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N28" i="1"/>
  <c r="N23" i="1"/>
  <c r="N24" i="1"/>
  <c r="N18" i="1"/>
  <c r="N19" i="1"/>
  <c r="M25" i="1"/>
  <c r="L25" i="1"/>
  <c r="K25" i="1"/>
  <c r="J25" i="1"/>
  <c r="I25" i="1"/>
  <c r="H25" i="1"/>
  <c r="G25" i="1"/>
  <c r="F25" i="1"/>
  <c r="E25" i="1"/>
  <c r="D25" i="1"/>
  <c r="C25" i="1"/>
  <c r="B25" i="1"/>
  <c r="M5" i="1"/>
  <c r="L5" i="1"/>
  <c r="K5" i="1"/>
  <c r="J5" i="1"/>
  <c r="I5" i="1"/>
  <c r="H5" i="1"/>
  <c r="G5" i="1"/>
  <c r="F5" i="1"/>
  <c r="E5" i="1"/>
  <c r="D5" i="1"/>
  <c r="C5" i="1"/>
  <c r="B5" i="1"/>
  <c r="M20" i="1"/>
  <c r="L20" i="1"/>
  <c r="K20" i="1"/>
  <c r="J20" i="1"/>
  <c r="I20" i="1"/>
  <c r="H20" i="1"/>
  <c r="G20" i="1"/>
  <c r="F20" i="1"/>
  <c r="E20" i="1"/>
  <c r="D20" i="1"/>
  <c r="C20" i="1"/>
  <c r="B20" i="1"/>
  <c r="M15" i="1"/>
  <c r="L15" i="1"/>
  <c r="K15" i="1"/>
  <c r="J15" i="1"/>
  <c r="I15" i="1"/>
  <c r="H15" i="1"/>
  <c r="G15" i="1"/>
  <c r="F15" i="1"/>
  <c r="E15" i="1"/>
  <c r="D15" i="1"/>
  <c r="C15" i="1"/>
  <c r="B15" i="1"/>
  <c r="M10" i="1"/>
  <c r="L10" i="1"/>
  <c r="K10" i="1"/>
  <c r="J10" i="1"/>
  <c r="I10" i="1"/>
  <c r="H10" i="1"/>
  <c r="G10" i="1"/>
  <c r="F10" i="1"/>
  <c r="E10" i="1"/>
  <c r="D10" i="1"/>
  <c r="C10" i="1"/>
  <c r="B10" i="1"/>
  <c r="N13" i="1"/>
  <c r="N14" i="1"/>
  <c r="N8" i="1"/>
  <c r="N9" i="1"/>
  <c r="N3" i="1"/>
  <c r="N4" i="1"/>
  <c r="O23" i="1" l="1"/>
  <c r="O24" i="1"/>
  <c r="O18" i="1"/>
  <c r="N10" i="1"/>
  <c r="N15" i="1"/>
  <c r="N5" i="1"/>
  <c r="O28" i="1"/>
  <c r="O14" i="1"/>
  <c r="O9" i="1"/>
  <c r="N25" i="1"/>
  <c r="O13" i="1"/>
  <c r="O19" i="1"/>
  <c r="O33" i="1"/>
  <c r="O8" i="1"/>
  <c r="N20" i="1"/>
  <c r="O29" i="1"/>
  <c r="N35" i="1"/>
  <c r="O34" i="1"/>
  <c r="N30" i="1"/>
  <c r="O15" i="1" l="1"/>
  <c r="O10" i="1"/>
  <c r="O20" i="1"/>
  <c r="O30" i="1"/>
  <c r="O25" i="1"/>
  <c r="O35" i="1"/>
</calcChain>
</file>

<file path=xl/sharedStrings.xml><?xml version="1.0" encoding="utf-8"?>
<sst xmlns="http://schemas.openxmlformats.org/spreadsheetml/2006/main" count="119" uniqueCount="18">
  <si>
    <t>Januar</t>
  </si>
  <si>
    <t>Februar</t>
  </si>
  <si>
    <t xml:space="preserve">März </t>
  </si>
  <si>
    <t>April</t>
  </si>
  <si>
    <t xml:space="preserve">Mai </t>
  </si>
  <si>
    <t xml:space="preserve">Juni </t>
  </si>
  <si>
    <t xml:space="preserve">Juli </t>
  </si>
  <si>
    <t>August</t>
  </si>
  <si>
    <t xml:space="preserve">September </t>
  </si>
  <si>
    <t>Oktober</t>
  </si>
  <si>
    <t>November</t>
  </si>
  <si>
    <t>Dezember</t>
  </si>
  <si>
    <t>Umsätze Runnerslab</t>
  </si>
  <si>
    <t>Point of sale</t>
  </si>
  <si>
    <t xml:space="preserve">Online-Shop </t>
  </si>
  <si>
    <t>Gesamtumsatz</t>
  </si>
  <si>
    <t>Total</t>
  </si>
  <si>
    <t>Unterschiede Vorjahr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</si>
</sst>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7" fontId="0" fillId="3" borderId="1" xfId="0" applyNumberFormat="1" applyFill="1" applyBorder="1"/>
    <xf numFmtId="0" fontId="1" fillId="4" borderId="2" xfId="0" applyFont="1" applyFill="1" applyBorder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0" fontId="1" fillId="0" borderId="1" xfId="0" applyFont="1" applyBorder="1"/>
    <xf numFmtId="2" fontId="0" fillId="0" borderId="1" xfId="0" applyNumberFormat="1" applyBorder="1"/>
    <xf numFmtId="4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A992-9BCB-A54F-86C9-6485B61DBBF0}">
  <dimension ref="A1:O35"/>
  <sheetViews>
    <sheetView tabSelected="1" topLeftCell="A12" workbookViewId="0">
      <selection activeCell="G38" sqref="G38"/>
    </sheetView>
  </sheetViews>
  <sheetFormatPr baseColWidth="10" defaultRowHeight="16" x14ac:dyDescent="0.2"/>
  <cols>
    <col min="1" max="1" width="18.6640625" customWidth="1"/>
    <col min="2" max="2" width="13.33203125" customWidth="1"/>
    <col min="3" max="3" width="13" bestFit="1" customWidth="1"/>
    <col min="4" max="9" width="13.1640625" bestFit="1" customWidth="1"/>
    <col min="10" max="13" width="13.33203125" bestFit="1" customWidth="1"/>
    <col min="14" max="14" width="14.83203125" customWidth="1"/>
    <col min="15" max="15" width="22.83203125" customWidth="1"/>
  </cols>
  <sheetData>
    <row r="1" spans="1:15" x14ac:dyDescent="0.2">
      <c r="A1" s="4" t="s">
        <v>12</v>
      </c>
    </row>
    <row r="2" spans="1:15" x14ac:dyDescent="0.2">
      <c r="A2" s="1">
        <v>2020</v>
      </c>
      <c r="B2" s="2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5" t="s">
        <v>15</v>
      </c>
    </row>
    <row r="3" spans="1:15" x14ac:dyDescent="0.2">
      <c r="A3" s="5" t="s">
        <v>13</v>
      </c>
      <c r="B3" s="7"/>
      <c r="C3" s="7"/>
      <c r="D3" s="7"/>
      <c r="E3" s="7"/>
      <c r="F3" s="7"/>
      <c r="G3" s="7"/>
      <c r="H3" s="7"/>
      <c r="I3" s="7">
        <v>5581.11</v>
      </c>
      <c r="J3" s="7">
        <v>19593.28</v>
      </c>
      <c r="K3" s="7">
        <v>23507.200000000001</v>
      </c>
      <c r="L3" s="8">
        <v>23551.23</v>
      </c>
      <c r="M3" s="7">
        <v>22018.85</v>
      </c>
      <c r="N3" s="7">
        <f>SUM(B3:M3)</f>
        <v>94251.669999999984</v>
      </c>
    </row>
    <row r="4" spans="1:15" x14ac:dyDescent="0.2">
      <c r="A4" s="5" t="s">
        <v>14</v>
      </c>
      <c r="B4" s="7"/>
      <c r="C4" s="7"/>
      <c r="D4" s="7"/>
      <c r="E4" s="7"/>
      <c r="F4" s="7"/>
      <c r="G4" s="7"/>
      <c r="H4" s="7"/>
      <c r="I4" s="7"/>
      <c r="J4" s="7"/>
      <c r="K4" s="7"/>
      <c r="L4" s="7">
        <v>0.1</v>
      </c>
      <c r="M4" s="7"/>
      <c r="N4" s="7">
        <f>SUM(B4:M4)</f>
        <v>0.1</v>
      </c>
    </row>
    <row r="5" spans="1:15" x14ac:dyDescent="0.2">
      <c r="A5" s="10" t="s">
        <v>16</v>
      </c>
      <c r="B5" s="7">
        <f t="shared" ref="B5:N5" si="0">SUM(B3:B4)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5581.11</v>
      </c>
      <c r="J5" s="7">
        <f t="shared" si="0"/>
        <v>19593.28</v>
      </c>
      <c r="K5" s="7">
        <f t="shared" si="0"/>
        <v>23507.200000000001</v>
      </c>
      <c r="L5" s="7">
        <f t="shared" si="0"/>
        <v>23551.329999999998</v>
      </c>
      <c r="M5" s="7">
        <f t="shared" si="0"/>
        <v>22018.85</v>
      </c>
      <c r="N5" s="9">
        <f t="shared" si="0"/>
        <v>94251.76999999999</v>
      </c>
    </row>
    <row r="7" spans="1:15" x14ac:dyDescent="0.2">
      <c r="A7" s="1">
        <v>2021</v>
      </c>
      <c r="B7" s="2" t="s">
        <v>0</v>
      </c>
      <c r="C7" s="2" t="s">
        <v>1</v>
      </c>
      <c r="D7" s="2" t="s">
        <v>2</v>
      </c>
      <c r="E7" s="3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5" t="s">
        <v>15</v>
      </c>
      <c r="O7" s="5" t="s">
        <v>17</v>
      </c>
    </row>
    <row r="8" spans="1:15" x14ac:dyDescent="0.2">
      <c r="A8" s="5" t="s">
        <v>13</v>
      </c>
      <c r="B8" s="7">
        <v>8138.5</v>
      </c>
      <c r="C8" s="7">
        <v>610</v>
      </c>
      <c r="D8" s="7">
        <v>39356</v>
      </c>
      <c r="E8" s="7">
        <v>37302.519999999997</v>
      </c>
      <c r="F8" s="7">
        <v>27277.9</v>
      </c>
      <c r="G8" s="7">
        <v>28048.15</v>
      </c>
      <c r="H8" s="7">
        <v>35949.85</v>
      </c>
      <c r="I8" s="7">
        <v>31854.71</v>
      </c>
      <c r="J8" s="7">
        <v>34436.61</v>
      </c>
      <c r="K8" s="7">
        <v>30822.46</v>
      </c>
      <c r="L8" s="7">
        <v>21426.58</v>
      </c>
      <c r="M8" s="7">
        <v>17827.099999999999</v>
      </c>
      <c r="N8" s="7">
        <f>SUM(B8:M8)</f>
        <v>313050.38</v>
      </c>
      <c r="O8" s="6">
        <f>N8/N3*100-100</f>
        <v>232.14305910972195</v>
      </c>
    </row>
    <row r="9" spans="1:15" x14ac:dyDescent="0.2">
      <c r="A9" s="5" t="s">
        <v>14</v>
      </c>
      <c r="B9" s="7"/>
      <c r="C9" s="7">
        <v>540.9</v>
      </c>
      <c r="D9" s="7">
        <v>195.9</v>
      </c>
      <c r="E9" s="7">
        <v>253.85</v>
      </c>
      <c r="F9" s="7">
        <v>380</v>
      </c>
      <c r="G9" s="7"/>
      <c r="H9" s="7">
        <v>53.85</v>
      </c>
      <c r="I9" s="7">
        <v>198.9</v>
      </c>
      <c r="J9" s="7"/>
      <c r="K9" s="7">
        <v>400.8</v>
      </c>
      <c r="L9" s="7"/>
      <c r="M9" s="7">
        <v>46.7</v>
      </c>
      <c r="N9" s="7">
        <f>SUM(B9:M9)</f>
        <v>2070.9</v>
      </c>
      <c r="O9" s="12">
        <f>N9/N4*100-100</f>
        <v>2070800</v>
      </c>
    </row>
    <row r="10" spans="1:15" x14ac:dyDescent="0.2">
      <c r="A10" s="10" t="s">
        <v>16</v>
      </c>
      <c r="B10" s="7">
        <f t="shared" ref="B10:N10" si="1">SUM(B8:B9)</f>
        <v>8138.5</v>
      </c>
      <c r="C10" s="7">
        <f t="shared" si="1"/>
        <v>1150.9000000000001</v>
      </c>
      <c r="D10" s="7">
        <f t="shared" si="1"/>
        <v>39551.9</v>
      </c>
      <c r="E10" s="7">
        <f t="shared" si="1"/>
        <v>37556.369999999995</v>
      </c>
      <c r="F10" s="7">
        <f t="shared" si="1"/>
        <v>27657.9</v>
      </c>
      <c r="G10" s="7">
        <f t="shared" si="1"/>
        <v>28048.15</v>
      </c>
      <c r="H10" s="7">
        <f t="shared" si="1"/>
        <v>36003.699999999997</v>
      </c>
      <c r="I10" s="7">
        <f t="shared" si="1"/>
        <v>32053.61</v>
      </c>
      <c r="J10" s="7">
        <f t="shared" si="1"/>
        <v>34436.61</v>
      </c>
      <c r="K10" s="7">
        <f t="shared" si="1"/>
        <v>31223.26</v>
      </c>
      <c r="L10" s="7">
        <f t="shared" si="1"/>
        <v>21426.58</v>
      </c>
      <c r="M10" s="7">
        <f t="shared" si="1"/>
        <v>17873.8</v>
      </c>
      <c r="N10" s="9">
        <f t="shared" si="1"/>
        <v>315121.28000000003</v>
      </c>
      <c r="O10" s="11">
        <f>N10/N5*100-100</f>
        <v>234.33990682615303</v>
      </c>
    </row>
    <row r="12" spans="1:15" x14ac:dyDescent="0.2">
      <c r="A12" s="1">
        <v>2022</v>
      </c>
      <c r="B12" s="2" t="s">
        <v>0</v>
      </c>
      <c r="C12" s="2" t="s">
        <v>1</v>
      </c>
      <c r="D12" s="2" t="s">
        <v>2</v>
      </c>
      <c r="E12" s="3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5" t="s">
        <v>15</v>
      </c>
      <c r="O12" s="5" t="s">
        <v>17</v>
      </c>
    </row>
    <row r="13" spans="1:15" x14ac:dyDescent="0.2">
      <c r="A13" s="5" t="s">
        <v>13</v>
      </c>
      <c r="B13" s="7">
        <v>8305.75</v>
      </c>
      <c r="C13" s="7">
        <v>16858.3</v>
      </c>
      <c r="D13" s="7">
        <v>28374.55</v>
      </c>
      <c r="E13" s="7">
        <v>28301.63</v>
      </c>
      <c r="F13" s="7">
        <v>22624.42</v>
      </c>
      <c r="G13" s="7">
        <v>19629.650000000001</v>
      </c>
      <c r="H13" s="7">
        <v>21409.71</v>
      </c>
      <c r="I13" s="7">
        <v>25031.01</v>
      </c>
      <c r="J13" s="7">
        <v>25879.13</v>
      </c>
      <c r="K13" s="7">
        <v>20719.96</v>
      </c>
      <c r="L13" s="7">
        <v>16077.14</v>
      </c>
      <c r="M13" s="7">
        <v>12428.14</v>
      </c>
      <c r="N13" s="7">
        <f>SUM(B13:M13)</f>
        <v>245639.39</v>
      </c>
      <c r="O13" s="6">
        <f>N13/N8*100-100</f>
        <v>-21.533591494123087</v>
      </c>
    </row>
    <row r="14" spans="1:15" x14ac:dyDescent="0.2">
      <c r="A14" s="5" t="s">
        <v>14</v>
      </c>
      <c r="B14" s="7">
        <v>8.9</v>
      </c>
      <c r="C14" s="7"/>
      <c r="D14" s="7">
        <v>3059.5</v>
      </c>
      <c r="E14" s="7">
        <v>2752.8</v>
      </c>
      <c r="F14" s="7">
        <v>1201.05</v>
      </c>
      <c r="G14" s="7">
        <v>1101.95</v>
      </c>
      <c r="H14" s="7">
        <v>2762.3</v>
      </c>
      <c r="I14" s="7">
        <v>2296.6999999999998</v>
      </c>
      <c r="J14" s="7">
        <v>2586.6999999999998</v>
      </c>
      <c r="K14" s="7">
        <v>5178.7</v>
      </c>
      <c r="L14" s="7">
        <v>10320.15</v>
      </c>
      <c r="M14" s="7">
        <v>1935.3</v>
      </c>
      <c r="N14" s="7">
        <f>SUM(B14:M14)</f>
        <v>33204.050000000003</v>
      </c>
      <c r="O14" s="12">
        <f>N14/N9*100-100</f>
        <v>1503.3632720073399</v>
      </c>
    </row>
    <row r="15" spans="1:15" x14ac:dyDescent="0.2">
      <c r="A15" s="10" t="s">
        <v>16</v>
      </c>
      <c r="B15" s="7">
        <f t="shared" ref="B15:N15" si="2">SUM(B13:B14)</f>
        <v>8314.65</v>
      </c>
      <c r="C15" s="7">
        <f t="shared" si="2"/>
        <v>16858.3</v>
      </c>
      <c r="D15" s="7">
        <f t="shared" si="2"/>
        <v>31434.05</v>
      </c>
      <c r="E15" s="7">
        <f t="shared" si="2"/>
        <v>31054.43</v>
      </c>
      <c r="F15" s="7">
        <f t="shared" si="2"/>
        <v>23825.469999999998</v>
      </c>
      <c r="G15" s="7">
        <f t="shared" si="2"/>
        <v>20731.600000000002</v>
      </c>
      <c r="H15" s="7">
        <f t="shared" si="2"/>
        <v>24172.01</v>
      </c>
      <c r="I15" s="7">
        <f t="shared" si="2"/>
        <v>27327.71</v>
      </c>
      <c r="J15" s="7">
        <f t="shared" si="2"/>
        <v>28465.83</v>
      </c>
      <c r="K15" s="7">
        <f t="shared" si="2"/>
        <v>25898.66</v>
      </c>
      <c r="L15" s="7">
        <f t="shared" si="2"/>
        <v>26397.29</v>
      </c>
      <c r="M15" s="7">
        <f t="shared" si="2"/>
        <v>14363.439999999999</v>
      </c>
      <c r="N15" s="9">
        <f t="shared" si="2"/>
        <v>278843.44</v>
      </c>
      <c r="O15" s="11">
        <f>N15/N10*100-100</f>
        <v>-11.512342168704066</v>
      </c>
    </row>
    <row r="17" spans="1:15" x14ac:dyDescent="0.2">
      <c r="A17" s="1">
        <v>2023</v>
      </c>
      <c r="B17" s="2" t="s">
        <v>0</v>
      </c>
      <c r="C17" s="2" t="s">
        <v>1</v>
      </c>
      <c r="D17" s="2" t="s">
        <v>2</v>
      </c>
      <c r="E17" s="3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2" t="s">
        <v>10</v>
      </c>
      <c r="M17" s="2" t="s">
        <v>11</v>
      </c>
      <c r="N17" s="5" t="s">
        <v>15</v>
      </c>
      <c r="O17" s="5" t="s">
        <v>17</v>
      </c>
    </row>
    <row r="18" spans="1:15" x14ac:dyDescent="0.2">
      <c r="A18" s="5" t="s">
        <v>13</v>
      </c>
      <c r="B18" s="7">
        <v>9661.2099999999991</v>
      </c>
      <c r="C18" s="7">
        <v>12037.7</v>
      </c>
      <c r="D18" s="7">
        <v>20289.240000000002</v>
      </c>
      <c r="E18" s="7">
        <v>19847.150000000001</v>
      </c>
      <c r="F18" s="7">
        <v>27063.17</v>
      </c>
      <c r="G18" s="7">
        <v>24914.75</v>
      </c>
      <c r="H18" s="7">
        <v>25222.43</v>
      </c>
      <c r="I18" s="7">
        <v>21327.200000000001</v>
      </c>
      <c r="J18" s="7">
        <v>24748.36</v>
      </c>
      <c r="K18" s="7">
        <v>19284.48</v>
      </c>
      <c r="L18" s="7">
        <v>15859.15</v>
      </c>
      <c r="M18" s="7">
        <v>12623.12</v>
      </c>
      <c r="N18" s="7">
        <f>SUM(B18:M18)</f>
        <v>232877.96000000002</v>
      </c>
      <c r="O18" s="6">
        <f>N18/N13*100-100</f>
        <v>-5.1951887683811577</v>
      </c>
    </row>
    <row r="19" spans="1:15" x14ac:dyDescent="0.2">
      <c r="A19" s="5" t="s">
        <v>14</v>
      </c>
      <c r="B19" s="7">
        <v>2080.3000000000002</v>
      </c>
      <c r="C19" s="7">
        <v>2827</v>
      </c>
      <c r="D19" s="7">
        <v>1505.35</v>
      </c>
      <c r="E19" s="7">
        <v>1237.0999999999999</v>
      </c>
      <c r="F19" s="7">
        <v>0</v>
      </c>
      <c r="G19" s="7">
        <v>445.8</v>
      </c>
      <c r="H19" s="7">
        <v>465.7</v>
      </c>
      <c r="I19" s="7">
        <v>9116</v>
      </c>
      <c r="J19" s="7">
        <v>9551.7999999999993</v>
      </c>
      <c r="K19" s="7">
        <v>7266.3</v>
      </c>
      <c r="L19" s="7">
        <v>7826.4</v>
      </c>
      <c r="M19" s="7">
        <v>8473.75</v>
      </c>
      <c r="N19" s="7">
        <f>SUM(B19:M19)</f>
        <v>50795.5</v>
      </c>
      <c r="O19" s="12">
        <f>N19/N14*100-100</f>
        <v>52.979832279496009</v>
      </c>
    </row>
    <row r="20" spans="1:15" x14ac:dyDescent="0.2">
      <c r="A20" s="10" t="s">
        <v>16</v>
      </c>
      <c r="B20" s="7">
        <f t="shared" ref="B20:N20" si="3">SUM(B18:B19)</f>
        <v>11741.509999999998</v>
      </c>
      <c r="C20" s="7">
        <f t="shared" si="3"/>
        <v>14864.7</v>
      </c>
      <c r="D20" s="7">
        <f t="shared" si="3"/>
        <v>21794.59</v>
      </c>
      <c r="E20" s="7">
        <f t="shared" si="3"/>
        <v>21084.25</v>
      </c>
      <c r="F20" s="7">
        <f t="shared" si="3"/>
        <v>27063.17</v>
      </c>
      <c r="G20" s="7">
        <f t="shared" si="3"/>
        <v>25360.55</v>
      </c>
      <c r="H20" s="7">
        <f t="shared" si="3"/>
        <v>25688.13</v>
      </c>
      <c r="I20" s="7">
        <f t="shared" si="3"/>
        <v>30443.200000000001</v>
      </c>
      <c r="J20" s="7">
        <f t="shared" si="3"/>
        <v>34300.160000000003</v>
      </c>
      <c r="K20" s="7">
        <f t="shared" si="3"/>
        <v>26550.78</v>
      </c>
      <c r="L20" s="7">
        <f t="shared" si="3"/>
        <v>23685.55</v>
      </c>
      <c r="M20" s="7">
        <f t="shared" si="3"/>
        <v>21096.870000000003</v>
      </c>
      <c r="N20" s="9">
        <f t="shared" si="3"/>
        <v>283673.46000000002</v>
      </c>
      <c r="O20" s="11">
        <f>N20/N15*100-100</f>
        <v>1.7321619615652537</v>
      </c>
    </row>
    <row r="22" spans="1:15" x14ac:dyDescent="0.2">
      <c r="A22" s="1">
        <v>2024</v>
      </c>
      <c r="B22" s="2" t="s">
        <v>0</v>
      </c>
      <c r="C22" s="2" t="s">
        <v>1</v>
      </c>
      <c r="D22" s="2" t="s">
        <v>2</v>
      </c>
      <c r="E22" s="3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11</v>
      </c>
      <c r="N22" s="5" t="s">
        <v>15</v>
      </c>
      <c r="O22" s="5" t="s">
        <v>17</v>
      </c>
    </row>
    <row r="23" spans="1:15" x14ac:dyDescent="0.2">
      <c r="A23" s="5" t="s">
        <v>13</v>
      </c>
      <c r="B23" s="7">
        <v>4849.88</v>
      </c>
      <c r="C23" s="7">
        <v>19546</v>
      </c>
      <c r="D23" s="7">
        <v>23960.5</v>
      </c>
      <c r="E23" s="7">
        <v>29721.7</v>
      </c>
      <c r="F23" s="7">
        <v>25028.799999999999</v>
      </c>
      <c r="G23" s="7">
        <v>23025.599999999999</v>
      </c>
      <c r="H23" s="7">
        <v>14297.2</v>
      </c>
      <c r="I23" s="7">
        <v>22039</v>
      </c>
      <c r="J23" s="7">
        <v>16573.900000000001</v>
      </c>
      <c r="K23" s="7">
        <v>20795.8</v>
      </c>
      <c r="L23" s="7">
        <v>14379.6</v>
      </c>
      <c r="M23" s="7">
        <v>12590.5</v>
      </c>
      <c r="N23" s="7">
        <f>SUM(B23:M23)</f>
        <v>226808.48</v>
      </c>
      <c r="O23" s="6">
        <f>N23/N18*100-100</f>
        <v>-2.6062921540535626</v>
      </c>
    </row>
    <row r="24" spans="1:15" x14ac:dyDescent="0.2">
      <c r="A24" s="5" t="s">
        <v>14</v>
      </c>
      <c r="B24" s="7">
        <v>4372.5</v>
      </c>
      <c r="C24" s="7">
        <v>768</v>
      </c>
      <c r="D24" s="7">
        <v>3831.8</v>
      </c>
      <c r="E24" s="7">
        <v>1947.4</v>
      </c>
      <c r="F24" s="7">
        <v>3362</v>
      </c>
      <c r="G24" s="7">
        <v>1047.7</v>
      </c>
      <c r="H24" s="7">
        <v>1577.4</v>
      </c>
      <c r="I24" s="7">
        <v>1398</v>
      </c>
      <c r="J24" s="7">
        <v>1724.8</v>
      </c>
      <c r="K24" s="7">
        <v>1466.2</v>
      </c>
      <c r="L24" s="7">
        <v>555</v>
      </c>
      <c r="M24" s="7">
        <v>2018.8</v>
      </c>
      <c r="N24" s="7">
        <f>SUM(B24:M24)</f>
        <v>24069.599999999999</v>
      </c>
      <c r="O24" s="12">
        <f>N24/N19*100-100</f>
        <v>-52.614700121073724</v>
      </c>
    </row>
    <row r="25" spans="1:15" x14ac:dyDescent="0.2">
      <c r="A25" s="10" t="s">
        <v>16</v>
      </c>
      <c r="B25" s="7">
        <f t="shared" ref="B25:N25" si="4">SUM(B23:B24)</f>
        <v>9222.380000000001</v>
      </c>
      <c r="C25" s="7">
        <f t="shared" si="4"/>
        <v>20314</v>
      </c>
      <c r="D25" s="7">
        <f t="shared" si="4"/>
        <v>27792.3</v>
      </c>
      <c r="E25" s="7">
        <f t="shared" si="4"/>
        <v>31669.100000000002</v>
      </c>
      <c r="F25" s="7">
        <f t="shared" si="4"/>
        <v>28390.799999999999</v>
      </c>
      <c r="G25" s="7">
        <f t="shared" si="4"/>
        <v>24073.3</v>
      </c>
      <c r="H25" s="7">
        <f t="shared" si="4"/>
        <v>15874.6</v>
      </c>
      <c r="I25" s="7">
        <f t="shared" si="4"/>
        <v>23437</v>
      </c>
      <c r="J25" s="7">
        <f t="shared" si="4"/>
        <v>18298.7</v>
      </c>
      <c r="K25" s="7">
        <f t="shared" si="4"/>
        <v>22262</v>
      </c>
      <c r="L25" s="7">
        <f t="shared" si="4"/>
        <v>14934.6</v>
      </c>
      <c r="M25" s="7">
        <f t="shared" si="4"/>
        <v>14609.3</v>
      </c>
      <c r="N25" s="9">
        <f t="shared" si="4"/>
        <v>250878.08000000002</v>
      </c>
      <c r="O25" s="11">
        <f>N25/N20*100-100</f>
        <v>-11.560961677557003</v>
      </c>
    </row>
    <row r="27" spans="1:15" x14ac:dyDescent="0.2">
      <c r="A27" s="1">
        <v>2025</v>
      </c>
      <c r="B27" s="2" t="s">
        <v>0</v>
      </c>
      <c r="C27" s="2" t="s">
        <v>1</v>
      </c>
      <c r="D27" s="2" t="s">
        <v>2</v>
      </c>
      <c r="E27" s="3" t="s">
        <v>3</v>
      </c>
      <c r="F27" s="2" t="s">
        <v>4</v>
      </c>
      <c r="G27" s="2" t="s">
        <v>5</v>
      </c>
      <c r="H27" s="2" t="s">
        <v>6</v>
      </c>
      <c r="I27" s="2" t="s">
        <v>7</v>
      </c>
      <c r="J27" s="2" t="s">
        <v>8</v>
      </c>
      <c r="K27" s="2" t="s">
        <v>9</v>
      </c>
      <c r="L27" s="2" t="s">
        <v>10</v>
      </c>
      <c r="M27" s="2" t="s">
        <v>11</v>
      </c>
      <c r="N27" s="5" t="s">
        <v>15</v>
      </c>
      <c r="O27" s="5" t="s">
        <v>17</v>
      </c>
    </row>
    <row r="28" spans="1:15" x14ac:dyDescent="0.2">
      <c r="A28" s="5" t="s">
        <v>13</v>
      </c>
      <c r="B28" s="7">
        <v>13878.6</v>
      </c>
      <c r="C28" s="7">
        <v>17764.8</v>
      </c>
      <c r="D28" s="7">
        <v>34637.699999999997</v>
      </c>
      <c r="E28" s="7">
        <v>30214.2</v>
      </c>
      <c r="F28" s="7">
        <v>26843.9</v>
      </c>
      <c r="G28" s="7">
        <v>20095.3</v>
      </c>
      <c r="H28" s="7">
        <v>30020.3</v>
      </c>
      <c r="I28" s="7">
        <v>22203.7</v>
      </c>
      <c r="J28" s="7">
        <v>25874.3</v>
      </c>
      <c r="K28" s="7">
        <v>27628.400000000001</v>
      </c>
      <c r="L28" s="7">
        <v>18362.900000000001</v>
      </c>
      <c r="M28" s="7">
        <v>12631.3</v>
      </c>
      <c r="N28" s="7">
        <f>SUM(B28:M28)</f>
        <v>280155.39999999997</v>
      </c>
      <c r="O28" s="6">
        <f>N28/N23*100-100</f>
        <v>23.520690231687965</v>
      </c>
    </row>
    <row r="29" spans="1:15" x14ac:dyDescent="0.2">
      <c r="A29" s="5" t="s">
        <v>14</v>
      </c>
      <c r="B29" s="7">
        <v>886</v>
      </c>
      <c r="C29" s="7">
        <v>1667.1</v>
      </c>
      <c r="D29" s="7">
        <v>989</v>
      </c>
      <c r="E29" s="7">
        <v>2016.8</v>
      </c>
      <c r="F29" s="7">
        <v>2280.6999999999998</v>
      </c>
      <c r="G29" s="7">
        <v>2070.6999999999998</v>
      </c>
      <c r="H29" s="7">
        <v>1286.2</v>
      </c>
      <c r="I29" s="7">
        <v>922</v>
      </c>
      <c r="J29" s="7">
        <v>843</v>
      </c>
      <c r="K29" s="7">
        <v>666</v>
      </c>
      <c r="L29" s="7">
        <v>438</v>
      </c>
      <c r="M29" s="7">
        <v>679</v>
      </c>
      <c r="N29" s="7">
        <f>SUM(B29:M29)</f>
        <v>14744.5</v>
      </c>
      <c r="O29" s="12">
        <f>N29/N24*100-100</f>
        <v>-38.742230863828233</v>
      </c>
    </row>
    <row r="30" spans="1:15" x14ac:dyDescent="0.2">
      <c r="A30" s="10" t="s">
        <v>16</v>
      </c>
      <c r="B30" s="7">
        <f>SUM(B28:B29)</f>
        <v>14764.6</v>
      </c>
      <c r="C30" s="7">
        <f>SUM(C28:C29)</f>
        <v>19431.899999999998</v>
      </c>
      <c r="D30" s="7">
        <f>SUM(D28:D29)</f>
        <v>35626.699999999997</v>
      </c>
      <c r="E30" s="7">
        <f>SUM(E28:E29)</f>
        <v>32231</v>
      </c>
      <c r="F30" s="7">
        <f>SUM(F29:F29)</f>
        <v>2280.6999999999998</v>
      </c>
      <c r="G30" s="7">
        <f t="shared" ref="G30:N30" si="5">SUM(G28:G29)</f>
        <v>22166</v>
      </c>
      <c r="H30" s="7">
        <f t="shared" si="5"/>
        <v>31306.5</v>
      </c>
      <c r="I30" s="7">
        <f t="shared" si="5"/>
        <v>23125.7</v>
      </c>
      <c r="J30" s="7">
        <f t="shared" si="5"/>
        <v>26717.3</v>
      </c>
      <c r="K30" s="7">
        <f t="shared" si="5"/>
        <v>28294.400000000001</v>
      </c>
      <c r="L30" s="7">
        <f t="shared" si="5"/>
        <v>18800.900000000001</v>
      </c>
      <c r="M30" s="7">
        <f t="shared" si="5"/>
        <v>13310.3</v>
      </c>
      <c r="N30" s="9">
        <f t="shared" si="5"/>
        <v>294899.89999999997</v>
      </c>
      <c r="O30" s="11">
        <f>N30/N25*100-100</f>
        <v>17.547096980334004</v>
      </c>
    </row>
    <row r="32" spans="1:15" x14ac:dyDescent="0.2">
      <c r="A32" s="1">
        <v>2026</v>
      </c>
      <c r="B32" s="2" t="s">
        <v>0</v>
      </c>
      <c r="C32" s="2" t="s">
        <v>1</v>
      </c>
      <c r="D32" s="2" t="s">
        <v>2</v>
      </c>
      <c r="E32" s="3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8</v>
      </c>
      <c r="K32" s="2" t="s">
        <v>9</v>
      </c>
      <c r="L32" s="2" t="s">
        <v>10</v>
      </c>
      <c r="M32" s="2" t="s">
        <v>11</v>
      </c>
      <c r="N32" s="5" t="s">
        <v>15</v>
      </c>
      <c r="O32" s="5" t="s">
        <v>17</v>
      </c>
    </row>
    <row r="33" spans="1:15" x14ac:dyDescent="0.2">
      <c r="A33" s="5" t="s">
        <v>13</v>
      </c>
      <c r="B33" s="7">
        <v>12840</v>
      </c>
      <c r="C33" s="7">
        <v>22544.5</v>
      </c>
      <c r="D33" s="7">
        <v>28329.599999999999</v>
      </c>
      <c r="E33" s="7">
        <v>25656.2</v>
      </c>
      <c r="F33" s="13">
        <v>30903.8</v>
      </c>
      <c r="G33" s="7"/>
      <c r="H33" s="7"/>
      <c r="I33" s="7"/>
      <c r="J33" s="7"/>
      <c r="K33" s="7"/>
      <c r="L33" s="7"/>
      <c r="M33" s="7"/>
      <c r="N33" s="7">
        <f>SUM(B33:M33)</f>
        <v>120274.1</v>
      </c>
      <c r="O33" s="6">
        <f>N33/N28*100-100</f>
        <v>-57.068791106650082</v>
      </c>
    </row>
    <row r="34" spans="1:15" x14ac:dyDescent="0.2">
      <c r="A34" s="5" t="s">
        <v>14</v>
      </c>
      <c r="B34" s="7">
        <v>209</v>
      </c>
      <c r="C34" s="7">
        <v>204</v>
      </c>
      <c r="D34" s="7">
        <v>721</v>
      </c>
      <c r="E34" s="7">
        <v>277</v>
      </c>
      <c r="F34" s="7">
        <v>1060.5999999999999</v>
      </c>
      <c r="G34" s="7"/>
      <c r="H34" s="7"/>
      <c r="I34" s="7"/>
      <c r="J34" s="7"/>
      <c r="K34" s="7"/>
      <c r="L34" s="7"/>
      <c r="M34" s="7"/>
      <c r="N34" s="7">
        <f>SUM(B34:M34)</f>
        <v>2471.6</v>
      </c>
      <c r="O34" s="12">
        <f>N34/N29*100-100</f>
        <v>-83.237139272271008</v>
      </c>
    </row>
    <row r="35" spans="1:15" x14ac:dyDescent="0.2">
      <c r="A35" s="10" t="s">
        <v>16</v>
      </c>
      <c r="B35" s="7">
        <f t="shared" ref="B35:N35" si="6">SUM(B33:B34)</f>
        <v>13049</v>
      </c>
      <c r="C35" s="7">
        <f t="shared" si="6"/>
        <v>22748.5</v>
      </c>
      <c r="D35" s="7">
        <f t="shared" si="6"/>
        <v>29050.6</v>
      </c>
      <c r="E35" s="7">
        <f t="shared" si="6"/>
        <v>25933.200000000001</v>
      </c>
      <c r="F35" s="7">
        <f t="shared" si="6"/>
        <v>31964.399999999998</v>
      </c>
      <c r="G35" s="7">
        <f t="shared" si="6"/>
        <v>0</v>
      </c>
      <c r="H35" s="7">
        <f t="shared" si="6"/>
        <v>0</v>
      </c>
      <c r="I35" s="7">
        <f t="shared" si="6"/>
        <v>0</v>
      </c>
      <c r="J35" s="7">
        <f t="shared" si="6"/>
        <v>0</v>
      </c>
      <c r="K35" s="7">
        <f t="shared" si="6"/>
        <v>0</v>
      </c>
      <c r="L35" s="7">
        <f t="shared" si="6"/>
        <v>0</v>
      </c>
      <c r="M35" s="7">
        <f t="shared" si="6"/>
        <v>0</v>
      </c>
      <c r="N35" s="9">
        <f t="shared" si="6"/>
        <v>122745.70000000001</v>
      </c>
      <c r="O35" s="11">
        <f>N35/N30*100-100</f>
        <v>-58.377164590425416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3D9E2BEDA4F245B417B211580825C6" ma:contentTypeVersion="12" ma:contentTypeDescription="Creare un nuovo documento." ma:contentTypeScope="" ma:versionID="2da920b17276764376dd9c34920444b5">
  <xsd:schema xmlns:xsd="http://www.w3.org/2001/XMLSchema" xmlns:xs="http://www.w3.org/2001/XMLSchema" xmlns:p="http://schemas.microsoft.com/office/2006/metadata/properties" xmlns:ns2="288f0618-13ea-4db3-8229-667b3ccae292" xmlns:ns3="1e9177c6-2e1b-49c1-be69-aab21259ecfd" targetNamespace="http://schemas.microsoft.com/office/2006/metadata/properties" ma:root="true" ma:fieldsID="7e016ce3c9af8825fb545d79cca2ef74" ns2:_="" ns3:_="">
    <xsd:import namespace="288f0618-13ea-4db3-8229-667b3ccae292"/>
    <xsd:import namespace="1e9177c6-2e1b-49c1-be69-aab21259ecf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0618-13ea-4db3-8229-667b3ccae2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debc9b56-b40a-44d9-b59a-2f2b7232a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77c6-2e1b-49c1-be69-aab21259ecf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8f0618-13ea-4db3-8229-667b3ccae2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198BF-D5A4-45EE-95E9-C7D1D3546890}"/>
</file>

<file path=customXml/itemProps2.xml><?xml version="1.0" encoding="utf-8"?>
<ds:datastoreItem xmlns:ds="http://schemas.openxmlformats.org/officeDocument/2006/customXml" ds:itemID="{60DDB485-6910-41C0-B61A-070BA9FE168D}"/>
</file>

<file path=customXml/itemProps3.xml><?xml version="1.0" encoding="utf-8"?>
<ds:datastoreItem xmlns:ds="http://schemas.openxmlformats.org/officeDocument/2006/customXml" ds:itemID="{09EEF0E4-8B05-4B51-9089-D6307E2C8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Kineo Physiotherapie</dc:creator>
  <cp:lastModifiedBy>Kineo Physiotherapie</cp:lastModifiedBy>
  <dcterms:created xsi:type="dcterms:W3CDTF">2023-05-08T15:46:06Z</dcterms:created>
  <dcterms:modified xsi:type="dcterms:W3CDTF">2026-06-10T07:07:40Z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0x010100F63D9E2BEDA4F245B417B211580825C6</vt:lpwstr>
  </property>
</Properties>
</file>